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4" xWindow="240" yWindow="60" windowWidth="0" windowHeight="0" tabRatio="500"/>
  </bookViews>
  <sheets>
    <sheet name="S1. Sampling" sheetId="1" r:id="rId4"/>
    <sheet name="S2. Morphometry" sheetId="2" r:id="rId5"/>
    <sheet name="S3. FCM" sheetId="3" r:id="rId6"/>
    <sheet name="S4. Repeats" sheetId="4" r:id="rId7"/>
    <sheet name="S5. Patristic distances" sheetId="5" r:id="rId8"/>
  </sheets>
  <calcPr/>
  <extLst>
    <ext uri="smNativeData">
      <pm:revision xmlns:pm="smNativeData" day="1789706791" val="1050" rev="124" rev64="64" revOS="3" revMin="124" revMax="0"/>
      <pm:docPrefs xmlns:pm="smNativeData" id="1789706791" fixedDigits="0" showNotice="1" showFrameBounds="1" autoChart="1" recalcOnPrint="1" recalcOnCopy="1" finalRounding="1" compatTextArt="1" tab="567" useDefinedPrintRange="1" printArea="currentSheet"/>
      <pm:compatibility xmlns:pm="smNativeData" id="1789706791" overlapCells="1"/>
      <pm:defCurrency xmlns:pm="smNativeData" id="1789706791"/>
    </ext>
  </extLst>
</workbook>
</file>

<file path=xl/sharedStrings.xml><?xml version="1.0" encoding="utf-8"?>
<sst xmlns="http://schemas.openxmlformats.org/spreadsheetml/2006/main" count="9857" uniqueCount="812">
  <si>
    <t>Table S1. Details on sampling campaigns in Bolshie Koty.</t>
  </si>
  <si>
    <t>Sampling period</t>
  </si>
  <si>
    <t>Approximate depth</t>
  </si>
  <si>
    <t>Ommatogammarus species collected (ordered by decreasing abundance)</t>
  </si>
  <si>
    <t>Used for</t>
  </si>
  <si>
    <t>Comments</t>
  </si>
  <si>
    <t>Mar 2016</t>
  </si>
  <si>
    <t>150 m</t>
  </si>
  <si>
    <t>O. flavus; O. albinus; O. melanophthalmus</t>
  </si>
  <si>
    <t>lcWGS (flavus)</t>
  </si>
  <si>
    <t>See Madyarova et al., 2022 for data on al / fl abundance</t>
  </si>
  <si>
    <t>200 m</t>
  </si>
  <si>
    <t>lcWGS (melanophthalmus)</t>
  </si>
  <si>
    <t>500 m</t>
  </si>
  <si>
    <t>O. albinus; O. flavus; O. melanophthalmus</t>
  </si>
  <si>
    <t>lcWGS (albinus)</t>
  </si>
  <si>
    <t>Feb–Mar 2021</t>
  </si>
  <si>
    <t>300 m</t>
  </si>
  <si>
    <t>morphological analysis; Sanger sequencing</t>
  </si>
  <si>
    <t>600-700 m</t>
  </si>
  <si>
    <t>O. albinus (dominant); O. flavus; other Ommatogammarus</t>
  </si>
  <si>
    <t>Feb–Mar 2022</t>
  </si>
  <si>
    <t>25 m</t>
  </si>
  <si>
    <t>O. flavus</t>
  </si>
  <si>
    <t>FCM</t>
  </si>
  <si>
    <t>See Telnes et al., 2025 for population genetic of fl and al</t>
  </si>
  <si>
    <t>250 m</t>
  </si>
  <si>
    <t>O. flavus; O. albinus</t>
  </si>
  <si>
    <t>650 m</t>
  </si>
  <si>
    <t>O. albinus; O. flavus</t>
  </si>
  <si>
    <t>1000 m</t>
  </si>
  <si>
    <t>Mar–Apr 2023</t>
  </si>
  <si>
    <t>50, 300, 750 m (all samples mixed)</t>
  </si>
  <si>
    <t>O. flavus; O. albinus; other</t>
  </si>
  <si>
    <t>June 2025</t>
  </si>
  <si>
    <t>O. flavus; O. melanophthalmus; O. albinus; other</t>
  </si>
  <si>
    <t>morphological analysis; Sanger sequencing; FCM</t>
  </si>
  <si>
    <t>Table S2. Morphometry data. All lengths and width were measured in mm using (micro)photographs. Eye color was determined using the color picker tool on white balance-corrected photographs; and R, G, and B values were extracted from it. ExR is excess red index (1.4*R-G). `Length of setae on antenna 2 med` is median value for all setae measured for this particular antenna (at least 10). Super-antennae eye half area, px and sub-antennal eye half area, px were determined from eye silhouettes; eye_shape_ant is the ratio between these values. Depth_x0009_is measured in meters and corresponds to the depth at which baited traps were deployed.</t>
  </si>
  <si>
    <t>Collection_date</t>
  </si>
  <si>
    <t>ID</t>
  </si>
  <si>
    <t>Body length</t>
  </si>
  <si>
    <t>Head width</t>
  </si>
  <si>
    <t>Eye width</t>
  </si>
  <si>
    <t>Eye height</t>
  </si>
  <si>
    <t>Head S</t>
  </si>
  <si>
    <t>Eye S</t>
  </si>
  <si>
    <t>Eye color</t>
  </si>
  <si>
    <t xml:space="preserve">Antenna 1 length </t>
  </si>
  <si>
    <t xml:space="preserve">Antenna 2 length </t>
  </si>
  <si>
    <t>Length of setae on antenna 2 med</t>
  </si>
  <si>
    <t>super-antennae eye half area, px</t>
  </si>
  <si>
    <t>sub-antennal eye half area, px</t>
  </si>
  <si>
    <t>eye_shape_ant</t>
  </si>
  <si>
    <t>COI</t>
  </si>
  <si>
    <t>Collection</t>
  </si>
  <si>
    <t>Depth</t>
  </si>
  <si>
    <t>R</t>
  </si>
  <si>
    <t>G</t>
  </si>
  <si>
    <t>B</t>
  </si>
  <si>
    <t>ExR</t>
  </si>
  <si>
    <t>Ocsp_21_1</t>
  </si>
  <si>
    <t>#6d3120</t>
  </si>
  <si>
    <t>am</t>
  </si>
  <si>
    <t>our</t>
  </si>
  <si>
    <t>600-700</t>
  </si>
  <si>
    <t>scaled photos according to a spot on the side, 0.55mm</t>
  </si>
  <si>
    <t>Ocsp_21_2</t>
  </si>
  <si>
    <t>#732312</t>
  </si>
  <si>
    <t>calibrated Altami photos by eye height калибровала по высоте глаза</t>
  </si>
  <si>
    <t>Ocsp_21_3</t>
  </si>
  <si>
    <t>#7e2804</t>
  </si>
  <si>
    <t>Ocsp_21_4</t>
  </si>
  <si>
    <t>#601a0e</t>
  </si>
  <si>
    <t>Ocsp_21_5</t>
  </si>
  <si>
    <t>#e0b282</t>
  </si>
  <si>
    <t>antenna I might be broken</t>
  </si>
  <si>
    <t>Ocsp_21_6</t>
  </si>
  <si>
    <t>#52210a</t>
  </si>
  <si>
    <t>Ocsp_21_7</t>
  </si>
  <si>
    <t>#8b401e</t>
  </si>
  <si>
    <t>Ocsp_21_8</t>
  </si>
  <si>
    <t>#361514</t>
  </si>
  <si>
    <t>Ocsp_21_9</t>
  </si>
  <si>
    <t>#9d5f2f</t>
  </si>
  <si>
    <t>Ocsp_21_10</t>
  </si>
  <si>
    <t>#6e240d</t>
  </si>
  <si>
    <t>NA</t>
  </si>
  <si>
    <t>antennae I completely absent</t>
  </si>
  <si>
    <t>Ocsp_21_11</t>
  </si>
  <si>
    <t>#833e05</t>
  </si>
  <si>
    <t>female with eggs</t>
  </si>
  <si>
    <t>Ocsp_21_12</t>
  </si>
  <si>
    <t>#712d0a</t>
  </si>
  <si>
    <t>no antennae</t>
  </si>
  <si>
    <t>Ocsp_21_13</t>
  </si>
  <si>
    <t>#934116</t>
  </si>
  <si>
    <t>Ocsp_21_14</t>
  </si>
  <si>
    <t>#953b0c</t>
  </si>
  <si>
    <t>Ocsp_21_15</t>
  </si>
  <si>
    <t>#9b501f</t>
  </si>
  <si>
    <t>Ocsp_21_16</t>
  </si>
  <si>
    <t>#6d1b09</t>
  </si>
  <si>
    <t>Ocsp_21_17</t>
  </si>
  <si>
    <t>#72270e</t>
  </si>
  <si>
    <t>Ocsp_21_18</t>
  </si>
  <si>
    <t>#471103</t>
  </si>
  <si>
    <t>Ocsp_21_19</t>
  </si>
  <si>
    <t>#531a08</t>
  </si>
  <si>
    <t>Ocsp_23_1</t>
  </si>
  <si>
    <t>#e39472</t>
  </si>
  <si>
    <t>20-750</t>
  </si>
  <si>
    <t>Ocsp_23_2</t>
  </si>
  <si>
    <t>#d7864d</t>
  </si>
  <si>
    <t>Ome_23_3</t>
  </si>
  <si>
    <t>#291814</t>
  </si>
  <si>
    <t>me</t>
  </si>
  <si>
    <t>Ocsp_23_4</t>
  </si>
  <si>
    <t>#c08164</t>
  </si>
  <si>
    <t>Ocsp_23_5</t>
  </si>
  <si>
    <t>#d68558</t>
  </si>
  <si>
    <t>Ocsp_23_6</t>
  </si>
  <si>
    <t>#dfa492</t>
  </si>
  <si>
    <t>female</t>
  </si>
  <si>
    <t>Ocsp_23_7</t>
  </si>
  <si>
    <t>#e5a47a</t>
  </si>
  <si>
    <t>male</t>
  </si>
  <si>
    <t>Ocsp_23_9</t>
  </si>
  <si>
    <t>#c06e42</t>
  </si>
  <si>
    <t>Ome_23_10</t>
  </si>
  <si>
    <t>#3c2729</t>
  </si>
  <si>
    <t>Ome_23_11</t>
  </si>
  <si>
    <t>#3d1412</t>
  </si>
  <si>
    <t>Ocsp_23_12</t>
  </si>
  <si>
    <t>#c77b54</t>
  </si>
  <si>
    <t>Ocsp_23_13</t>
  </si>
  <si>
    <t>#ab6848</t>
  </si>
  <si>
    <t>Ome_23_14</t>
  </si>
  <si>
    <t>fixed an already dead animal</t>
  </si>
  <si>
    <t>Ome_21_35</t>
  </si>
  <si>
    <t>#0f0908</t>
  </si>
  <si>
    <t>Ome_21_36</t>
  </si>
  <si>
    <t>#161007</t>
  </si>
  <si>
    <t>female; body length approx, curved</t>
  </si>
  <si>
    <t>Ome_25_1</t>
  </si>
  <si>
    <t>#1c1110</t>
  </si>
  <si>
    <t>body length very approximate, curved</t>
  </si>
  <si>
    <t>Ome_25_2</t>
  </si>
  <si>
    <t>#0f0505</t>
  </si>
  <si>
    <t>eye exploded after fixation; shape from live photo</t>
  </si>
  <si>
    <t>Ome_25_3</t>
  </si>
  <si>
    <t>#200d07</t>
  </si>
  <si>
    <t>bad focus in eye photograph</t>
  </si>
  <si>
    <t>Ome_25_4</t>
  </si>
  <si>
    <t>#1f190f</t>
  </si>
  <si>
    <t>Ome_25_5</t>
  </si>
  <si>
    <t>#0b0b01</t>
  </si>
  <si>
    <t>Ome_25_7</t>
  </si>
  <si>
    <t>#0b0403</t>
  </si>
  <si>
    <t>antennae II broken</t>
  </si>
  <si>
    <t>Ome_25_8</t>
  </si>
  <si>
    <t>#160902</t>
  </si>
  <si>
    <t>Ome_25_9</t>
  </si>
  <si>
    <t>#090200</t>
  </si>
  <si>
    <t>no head in frozen specimen</t>
  </si>
  <si>
    <t>Ome_25_11</t>
  </si>
  <si>
    <t>#080203</t>
  </si>
  <si>
    <t>Ome_25_13</t>
  </si>
  <si>
    <t>#0b0400</t>
  </si>
  <si>
    <t>Ohy_25</t>
  </si>
  <si>
    <t>#080506</t>
  </si>
  <si>
    <t>28_106_Occ_1</t>
  </si>
  <si>
    <t>Takhteew_ca</t>
  </si>
  <si>
    <t>28_106_Occ_2</t>
  </si>
  <si>
    <t>28_106_Occ_3</t>
  </si>
  <si>
    <t>28_106_Occ_4</t>
  </si>
  <si>
    <t>28_106_Occ_5</t>
  </si>
  <si>
    <t>28_106_Occ_6</t>
  </si>
  <si>
    <t>28_110_Oca</t>
  </si>
  <si>
    <t>Takhteew_am</t>
  </si>
  <si>
    <t>28_116_Oca_1</t>
  </si>
  <si>
    <t>28_116_Oca_2</t>
  </si>
  <si>
    <t>28_116_Oca_3</t>
  </si>
  <si>
    <t>Gammarus_amethystinus_1m</t>
  </si>
  <si>
    <t>Dyb1874_am</t>
  </si>
  <si>
    <t>Gammarus_amethystinus_2m</t>
  </si>
  <si>
    <t>Gammarus_amethystinus_3m</t>
  </si>
  <si>
    <t>Gammarus_amethystinus_4f</t>
  </si>
  <si>
    <t>Gammarus_carneolus_1m</t>
  </si>
  <si>
    <t>Dyb1874_ca</t>
  </si>
  <si>
    <t>Gammarus_carneolus_2m</t>
  </si>
  <si>
    <t>Gammarus_carneolus_3m</t>
  </si>
  <si>
    <t>Gammarus_carneolus_4m</t>
  </si>
  <si>
    <t>Gammarus_carneolus_5f</t>
  </si>
  <si>
    <t>Table S3. Flow cytometry measurements of genome size. StdPeak refers to which of the peaks corresponded to internal reference (H. illucens), and StdSize is its genome size. a/b_mean, a/b_stddev and a/b_CV characterize the mean, standard deviation and coefficient of variation in the corresponding peaks (A for internal reference and B for sample). RCS is residual chi-squared for the model. Linearity characterizes the ratio between 2C and 4C peaks of the internal standard.</t>
  </si>
  <si>
    <t>Filename</t>
  </si>
  <si>
    <t>StdPeak</t>
  </si>
  <si>
    <t>StdSize</t>
  </si>
  <si>
    <t>pg</t>
  </si>
  <si>
    <t>RCS</t>
  </si>
  <si>
    <t>a_mean</t>
  </si>
  <si>
    <t>a_stddev</t>
  </si>
  <si>
    <t>linearity</t>
  </si>
  <si>
    <t>b_mean</t>
  </si>
  <si>
    <t>b_stddev</t>
  </si>
  <si>
    <t>a_CV</t>
  </si>
  <si>
    <t>b_CV</t>
  </si>
  <si>
    <t>Species</t>
  </si>
  <si>
    <t>2025-06-11_PD_MD_Fly PI_1.fcs</t>
  </si>
  <si>
    <t>A</t>
  </si>
  <si>
    <t>2025-06-11_PD_MD_Ofl1000_1-10_1.fcs</t>
  </si>
  <si>
    <t>flavus</t>
  </si>
  <si>
    <t>2025-06-11_PD_MD_Ofl1000_1-11_1.fcs</t>
  </si>
  <si>
    <t>2025-06-11_PD_MD_Ofl1000_1-12.fcs</t>
  </si>
  <si>
    <t>2025-06-11_PD_MD_Ofl1000_1-3_1.fcs</t>
  </si>
  <si>
    <t>2025-06-11_PD_MD_Ofl1000_1-4_1.fcs</t>
  </si>
  <si>
    <t>2025-06-11_PD_MD_Ofl1000_1-5_1.fcs</t>
  </si>
  <si>
    <t>2025-06-11_PD_MD_Ofl1000_1-6_1.fcs</t>
  </si>
  <si>
    <t>2025-06-11_PD_MD_Ofl1000_1-7_1.fcs</t>
  </si>
  <si>
    <t>2025-06-11_PD_MD_Ofl1000_1-7_2.fcs</t>
  </si>
  <si>
    <t>2025-06-11_PD_MD_Ofl1000_1-8_1.fcs</t>
  </si>
  <si>
    <t>2025-06-11_PD_MD_Ofl1000_1-8_2.fcs</t>
  </si>
  <si>
    <t>2025-06-11_PD_MD_Ofl1000_1-9_1.fcs</t>
  </si>
  <si>
    <t>2025-06-11_PD_MD_Ofl1000_1-9_2.fcs</t>
  </si>
  <si>
    <t>2025-06-17_Oal250_6-1.fcs</t>
  </si>
  <si>
    <t>albinus</t>
  </si>
  <si>
    <t>2025-06-17_Oal250_6-3.fcs</t>
  </si>
  <si>
    <t>2025-06-17_Oal250_6-5.fcs</t>
  </si>
  <si>
    <t>Inf</t>
  </si>
  <si>
    <t>2025-06-17_Oal250_6-6.fcs</t>
  </si>
  <si>
    <t>2025-06-17_Ofl250_5-5.fcs</t>
  </si>
  <si>
    <t>2025-06-17_Ofl650_3-3+fly.fcs</t>
  </si>
  <si>
    <t>2025-06-17_Ofl650_3-4+3-6+fly 1.fcs</t>
  </si>
  <si>
    <t>2025-06-18 MD PD_Fly.fcs</t>
  </si>
  <si>
    <t>2025-06-18 MD PD_Ofl100_7-1_1.fcs</t>
  </si>
  <si>
    <t>2025-06-18 MD PD_Ofl100_7-6_1.fcs</t>
  </si>
  <si>
    <t>2025-06-18 MD PD_Ofl25_9-1_1.fcs</t>
  </si>
  <si>
    <t>2025-06-18 MD PD_Ofl25_9-3_1.fcs</t>
  </si>
  <si>
    <t>2025-06-26_Oa_250m_20.fcs</t>
  </si>
  <si>
    <t>2025-06-26_Oa_250m_21.fcs</t>
  </si>
  <si>
    <t>2025-06-26_Oa_250m_22.fcs</t>
  </si>
  <si>
    <t>2025-06-26_Oa_250m_23.fcs</t>
  </si>
  <si>
    <t>2025-06-26_Oa_250m_24.fcs</t>
  </si>
  <si>
    <t>2025-06-26_Oal_250m_18+fly.fcs</t>
  </si>
  <si>
    <t>2025-06-26_Ocm_250m_13.fcs</t>
  </si>
  <si>
    <t>melanophthalmus</t>
  </si>
  <si>
    <t>2025-06-26_Ocm_250m_14.fcs</t>
  </si>
  <si>
    <t>2025-06-26_Ocm_250m_15.fcs</t>
  </si>
  <si>
    <t>2025-06-26_Ocm_250m_16.fcs</t>
  </si>
  <si>
    <t>2025-06-26_Ocm_250m_17.fcs</t>
  </si>
  <si>
    <t>2025-06-26_Ocm_250m_18.fcs</t>
  </si>
  <si>
    <t>2025-06-26_Ocm_250m_19_1.fcs</t>
  </si>
  <si>
    <t>2025-06-26_Ocm_250m_19.fcs</t>
  </si>
  <si>
    <t>2025-06-26_Ocm_250m_20_1.fcs</t>
  </si>
  <si>
    <t>2025-06-26_Ocm_250m_20.fcs</t>
  </si>
  <si>
    <t>2025-06-26_Ocm_250m_21.fcs</t>
  </si>
  <si>
    <t>2025-06-26_Ocm_250m_21+fly.fcs</t>
  </si>
  <si>
    <t>2025-06-26_Ocm_250m_22.fcs</t>
  </si>
  <si>
    <t>2025-06-26_Ocm_250m_23.fcs</t>
  </si>
  <si>
    <t>2025-06-26_Ocm_250m_24.fcs</t>
  </si>
  <si>
    <t xml:space="preserve">Table S4. Analysis of repeated sequences with RepeatExplorer2 </t>
  </si>
  <si>
    <t>Number_of_reads_in_clusters</t>
  </si>
  <si>
    <t>Number_of_clusters</t>
  </si>
  <si>
    <t>Number_of_superclusters</t>
  </si>
  <si>
    <t>Number_of_singlets</t>
  </si>
  <si>
    <t>Number_of_analyzed_reads</t>
  </si>
  <si>
    <t>Cluster</t>
  </si>
  <si>
    <t>Supercluster</t>
  </si>
  <si>
    <t>Size</t>
  </si>
  <si>
    <t>Size_adjusted</t>
  </si>
  <si>
    <t>Automatic_annotation</t>
  </si>
  <si>
    <t>TAREAN_annotation</t>
  </si>
  <si>
    <t>Final_annotation</t>
  </si>
  <si>
    <t>All/repeat/mobile_element/Class_I/LINE</t>
  </si>
  <si>
    <t>Other</t>
  </si>
  <si>
    <t>LINE</t>
  </si>
  <si>
    <t>All/repeat</t>
  </si>
  <si>
    <t>Putative satellites (low confidence)</t>
  </si>
  <si>
    <t>All</t>
  </si>
  <si>
    <t>All/repeat/rDNA/45S_rDNA</t>
  </si>
  <si>
    <t>45S_rDNA</t>
  </si>
  <si>
    <t>All/repeat/mobile_element/Class_I/LTR/Ty3_gypsy</t>
  </si>
  <si>
    <t>LTR/Ty3_gypsy</t>
  </si>
  <si>
    <t>Putative LTR elements</t>
  </si>
  <si>
    <t>LTR</t>
  </si>
  <si>
    <t>All/repeat/mobile_element/Class_I/LTR/Bel-Pao</t>
  </si>
  <si>
    <t>All/repeat/mobile_element/Class_I/DIRS</t>
  </si>
  <si>
    <t>DIRS</t>
  </si>
  <si>
    <t>All/repeat/satellite</t>
  </si>
  <si>
    <t>Putative satellites (high confidence)</t>
  </si>
  <si>
    <t>Satellite</t>
  </si>
  <si>
    <t>All/repeat/mobile_element/Class_I/LTR</t>
  </si>
  <si>
    <t>All/repeat/mobile_element/Class_I/Penelope</t>
  </si>
  <si>
    <t>Penelope</t>
  </si>
  <si>
    <t>Table S5. Patristic distances between all pairs of COI sequences for O. albinus, O. flavus, O. amethystinus, and O. melanophthalmus.</t>
  </si>
  <si>
    <t>Oal_D2_COX1</t>
  </si>
  <si>
    <t>Ofl_D2_COX1</t>
  </si>
  <si>
    <t>Ofl_COI_BK_34_Of_1000m</t>
  </si>
  <si>
    <t>Ofl_COI_BK_44_Of_100m</t>
  </si>
  <si>
    <t>Ofl_COI_BK_1_Of_1000m</t>
  </si>
  <si>
    <t>Ofl_COI_BK_35_Of_25m</t>
  </si>
  <si>
    <t>Ofl_COI_BK_17_Of_1000m</t>
  </si>
  <si>
    <t>Ofl_COI_BK_27_Of_250m</t>
  </si>
  <si>
    <t>Ofl_COI_BK_26_Of_650m</t>
  </si>
  <si>
    <t>Ofl_COI_BK_13_Of_25m</t>
  </si>
  <si>
    <t>Ofl_COI_BK_31_Of_650m</t>
  </si>
  <si>
    <t>Ofl_COI_BK_2_Of_650m</t>
  </si>
  <si>
    <t>Ofl_COI_BK_10_Of_650m</t>
  </si>
  <si>
    <t>Ofl_COI_BK_28_Of_100m</t>
  </si>
  <si>
    <t>Ofl_COI_BK_20_Of_100m</t>
  </si>
  <si>
    <t>Ofl_COI_BK_25_Of_1000m</t>
  </si>
  <si>
    <t>Ofl_COI_BK_21_Of_25m</t>
  </si>
  <si>
    <t>Ofl_COI_BK_41_Of_1000m</t>
  </si>
  <si>
    <t>Ofl_COI_BK_4_Of_100m</t>
  </si>
  <si>
    <t>Ofl_COI_BK_3_Of_250m</t>
  </si>
  <si>
    <t>Ofl_COI_BK_43_Of_250m</t>
  </si>
  <si>
    <t>Ofl_COI_BK_9_Of_1000m</t>
  </si>
  <si>
    <t>Ofl_COI_BK_33_Of_1000m</t>
  </si>
  <si>
    <t>Ofl_COI_BK_19_Of_250m</t>
  </si>
  <si>
    <t>Ofl_COI_BK_29_Of_25m</t>
  </si>
  <si>
    <t>Ofl_COI_BK_12_Of_100m</t>
  </si>
  <si>
    <t>Ofl_COI_BK_11_Of_250m</t>
  </si>
  <si>
    <t>Ofl_COI_BK_18_Of_650m</t>
  </si>
  <si>
    <t>Ofl_COI_BK_42_Of_650m</t>
  </si>
  <si>
    <t>Ome_D2_COX1</t>
  </si>
  <si>
    <t>Ocsp_23_14</t>
  </si>
  <si>
    <t>Oal_COI_BK_22_Oa_1000m</t>
  </si>
  <si>
    <t>Oal_23_8</t>
  </si>
  <si>
    <t>Oal_COI_BK_47_Oa_250m</t>
  </si>
  <si>
    <t>Oal_COI_BK_14_Oa_1000m</t>
  </si>
  <si>
    <t>Oal_COI_BK_40_Oa_100m</t>
  </si>
  <si>
    <t>Oal_COI_BK_48_Oa_100m</t>
  </si>
  <si>
    <t>Oal_COI_BK_38_Oa_100m</t>
  </si>
  <si>
    <t>Oal_COI_BK_39_Oa_100m</t>
  </si>
  <si>
    <t>Oal_COI_BK_45_Oa_1000m</t>
  </si>
  <si>
    <t>Oal_COI_BK_24_Oa_250m</t>
  </si>
  <si>
    <t>Oal_COI_BK_8_Oa_250m</t>
  </si>
  <si>
    <t>Oal_COI_BK_37_Oa_100m</t>
  </si>
  <si>
    <t>Oal_COI_BK_6_Oa_1000m</t>
  </si>
  <si>
    <t>Oal_COI_BK_15_Oa_650m</t>
  </si>
  <si>
    <t>Oal_COI_BK_32_Oa_250m</t>
  </si>
  <si>
    <t>Oal_COI_BK_23_Oa_650m</t>
  </si>
  <si>
    <t>Oal_COI_BK_46_Oa_650m</t>
  </si>
  <si>
    <t>Oal_COI_BK_36_Oa_1000m</t>
  </si>
  <si>
    <t>Oal_COI_BK_30_Oa_1000m</t>
  </si>
  <si>
    <t>Oal_COI_BK_7_Oa_650m</t>
  </si>
  <si>
    <t>Oal_COI_BK_16_Oa_250m</t>
  </si>
  <si>
    <t>0.2477372566</t>
  </si>
  <si>
    <t>0.2456124796</t>
  </si>
  <si>
    <t>0.2477375906</t>
  </si>
  <si>
    <t>0.2456102296</t>
  </si>
  <si>
    <t>0.2477343381</t>
  </si>
  <si>
    <t>0.2434864386</t>
  </si>
  <si>
    <t>0.2298263797</t>
  </si>
  <si>
    <t>0.231859801</t>
  </si>
  <si>
    <t>0.2318536679</t>
  </si>
  <si>
    <t>0.2318545013</t>
  </si>
  <si>
    <t>0.2302802546</t>
  </si>
  <si>
    <t>0.23027963</t>
  </si>
  <si>
    <t>0.2282460305</t>
  </si>
  <si>
    <t>0.2549369694</t>
  </si>
  <si>
    <t>0.2635731482</t>
  </si>
  <si>
    <t>0.2549500415</t>
  </si>
  <si>
    <t>0.2570475672</t>
  </si>
  <si>
    <t>0.2614512316</t>
  </si>
  <si>
    <t>0.2570786038</t>
  </si>
  <si>
    <t>0.2591501569</t>
  </si>
  <si>
    <t>0.2570628734</t>
  </si>
  <si>
    <t>0.2635895208</t>
  </si>
  <si>
    <t>0.2677830204</t>
  </si>
  <si>
    <t>0.2613982115</t>
  </si>
  <si>
    <t>0.2634993006</t>
  </si>
  <si>
    <t>0.2549395452</t>
  </si>
  <si>
    <t>0.2528447767</t>
  </si>
  <si>
    <t>0.2528437751</t>
  </si>
  <si>
    <t>0.2507447463</t>
  </si>
  <si>
    <t>0.0021934237</t>
  </si>
  <si>
    <t>0.0000020032</t>
  </si>
  <si>
    <t>0.0021267802</t>
  </si>
  <si>
    <t>0.0042538944</t>
  </si>
  <si>
    <t>0.0021310334</t>
  </si>
  <si>
    <t>0.0042571451</t>
  </si>
  <si>
    <t>0.0042563578</t>
  </si>
  <si>
    <t>0.2256797733</t>
  </si>
  <si>
    <t>0.2277131946</t>
  </si>
  <si>
    <t>0.2277070615</t>
  </si>
  <si>
    <t>0.2277078949</t>
  </si>
  <si>
    <t>0.2261336482</t>
  </si>
  <si>
    <t>0.2261330236</t>
  </si>
  <si>
    <t>0.2240994241</t>
  </si>
  <si>
    <t>0.250790363</t>
  </si>
  <si>
    <t>0.2594265418</t>
  </si>
  <si>
    <t>0.2508034351</t>
  </si>
  <si>
    <t>0.2529009608</t>
  </si>
  <si>
    <t>0.2573046252</t>
  </si>
  <si>
    <t>0.2529319974</t>
  </si>
  <si>
    <t>0.2550035505</t>
  </si>
  <si>
    <t>0.252916267</t>
  </si>
  <si>
    <t>0.2594429144</t>
  </si>
  <si>
    <t>0.263636414</t>
  </si>
  <si>
    <t>0.2572516051</t>
  </si>
  <si>
    <t>0.2593526942</t>
  </si>
  <si>
    <t>0.2507929388</t>
  </si>
  <si>
    <t>0.2486981703</t>
  </si>
  <si>
    <t>0.2486971687</t>
  </si>
  <si>
    <t>0.2465981399</t>
  </si>
  <si>
    <t>0.2499237955</t>
  </si>
  <si>
    <t>0.0021291174</t>
  </si>
  <si>
    <t>0.0000062564</t>
  </si>
  <si>
    <t>0.0021323681</t>
  </si>
  <si>
    <t>0.0021315808</t>
  </si>
  <si>
    <t>0.2235549963</t>
  </si>
  <si>
    <t>0.2255884176</t>
  </si>
  <si>
    <t>0.2255822845</t>
  </si>
  <si>
    <t>0.2255831179</t>
  </si>
  <si>
    <t>0.2240088712</t>
  </si>
  <si>
    <t>0.2240082466</t>
  </si>
  <si>
    <t>0.2219746471</t>
  </si>
  <si>
    <t>0.248665586</t>
  </si>
  <si>
    <t>0.2573017648</t>
  </si>
  <si>
    <t>0.2486786581</t>
  </si>
  <si>
    <t>0.2507761838</t>
  </si>
  <si>
    <t>0.2551798482</t>
  </si>
  <si>
    <t>0.2508072204</t>
  </si>
  <si>
    <t>0.2528787735</t>
  </si>
  <si>
    <t>0.25079149</t>
  </si>
  <si>
    <t>0.2573181374</t>
  </si>
  <si>
    <t>0.261511637</t>
  </si>
  <si>
    <t>0.2551268281</t>
  </si>
  <si>
    <t>0.2572279172</t>
  </si>
  <si>
    <t>0.2486681618</t>
  </si>
  <si>
    <t>0.2465733933</t>
  </si>
  <si>
    <t>0.2465723917</t>
  </si>
  <si>
    <t>0.2444733629</t>
  </si>
  <si>
    <t>0.2477990185</t>
  </si>
  <si>
    <t>0.0021313674</t>
  </si>
  <si>
    <t>0.0042574791</t>
  </si>
  <si>
    <t>0.0042566918</t>
  </si>
  <si>
    <t>0.2256801073</t>
  </si>
  <si>
    <t>0.2277135286</t>
  </si>
  <si>
    <t>0.2277073955</t>
  </si>
  <si>
    <t>0.2277082289</t>
  </si>
  <si>
    <t>0.2261339822</t>
  </si>
  <si>
    <t>0.2261333576</t>
  </si>
  <si>
    <t>0.2240997581</t>
  </si>
  <si>
    <t>0.250790697</t>
  </si>
  <si>
    <t>0.2594268758</t>
  </si>
  <si>
    <t>0.2508037691</t>
  </si>
  <si>
    <t>0.2529012948</t>
  </si>
  <si>
    <t>0.2573049592</t>
  </si>
  <si>
    <t>0.2529323314</t>
  </si>
  <si>
    <t>0.2550038845</t>
  </si>
  <si>
    <t>0.252916601</t>
  </si>
  <si>
    <t>0.2594432484</t>
  </si>
  <si>
    <t>0.263636748</t>
  </si>
  <si>
    <t>0.2572519391</t>
  </si>
  <si>
    <t>0.2593530282</t>
  </si>
  <si>
    <t>0.2507932728</t>
  </si>
  <si>
    <t>0.2486985043</t>
  </si>
  <si>
    <t>0.2486975027</t>
  </si>
  <si>
    <t>0.2465984739</t>
  </si>
  <si>
    <t>0.2499241295</t>
  </si>
  <si>
    <t>0.0021301181</t>
  </si>
  <si>
    <t>0.0021293308</t>
  </si>
  <si>
    <t>0.2235527463</t>
  </si>
  <si>
    <t>0.2255861676</t>
  </si>
  <si>
    <t>0.2255800345</t>
  </si>
  <si>
    <t>0.2255808679</t>
  </si>
  <si>
    <t>0.2240066212</t>
  </si>
  <si>
    <t>0.2240059966</t>
  </si>
  <si>
    <t>0.2219723971</t>
  </si>
  <si>
    <t>0.248663336</t>
  </si>
  <si>
    <t>0.2572995148</t>
  </si>
  <si>
    <t>0.2486764081</t>
  </si>
  <si>
    <t>0.2507739338</t>
  </si>
  <si>
    <t>0.2551775982</t>
  </si>
  <si>
    <t>0.2508049704</t>
  </si>
  <si>
    <t>0.2528765235</t>
  </si>
  <si>
    <t>0.25078924</t>
  </si>
  <si>
    <t>0.2573158874</t>
  </si>
  <si>
    <t>0.261509387</t>
  </si>
  <si>
    <t>0.2551245781</t>
  </si>
  <si>
    <t>0.2572256672</t>
  </si>
  <si>
    <t>0.2486659118</t>
  </si>
  <si>
    <t>0.2465711433</t>
  </si>
  <si>
    <t>0.2465701417</t>
  </si>
  <si>
    <t>0.2444711129</t>
  </si>
  <si>
    <t>0.2477967685</t>
  </si>
  <si>
    <t>0.0042534393</t>
  </si>
  <si>
    <t>0.2256768548</t>
  </si>
  <si>
    <t>0.2277102761</t>
  </si>
  <si>
    <t>0.227704143</t>
  </si>
  <si>
    <t>0.2277049764</t>
  </si>
  <si>
    <t>0.2261307297</t>
  </si>
  <si>
    <t>0.2261301051</t>
  </si>
  <si>
    <t>0.2240965056</t>
  </si>
  <si>
    <t>0.2507874445</t>
  </si>
  <si>
    <t>0.2594236233</t>
  </si>
  <si>
    <t>0.2508005166</t>
  </si>
  <si>
    <t>0.2528980423</t>
  </si>
  <si>
    <t>0.2573017067</t>
  </si>
  <si>
    <t>0.2529290789</t>
  </si>
  <si>
    <t>0.255000632</t>
  </si>
  <si>
    <t>0.2529133485</t>
  </si>
  <si>
    <t>0.2594399959</t>
  </si>
  <si>
    <t>0.2636334955</t>
  </si>
  <si>
    <t>0.2572486866</t>
  </si>
  <si>
    <t>0.2593497757</t>
  </si>
  <si>
    <t>0.2507900203</t>
  </si>
  <si>
    <t>0.2486952518</t>
  </si>
  <si>
    <t>0.2486942502</t>
  </si>
  <si>
    <t>0.2465952214</t>
  </si>
  <si>
    <t>0.249920877</t>
  </si>
  <si>
    <t>0.2214289553</t>
  </si>
  <si>
    <t>0.2234623766</t>
  </si>
  <si>
    <t>0.2234562435</t>
  </si>
  <si>
    <t>0.2234570769</t>
  </si>
  <si>
    <t>0.2218828302</t>
  </si>
  <si>
    <t>0.2218822056</t>
  </si>
  <si>
    <t>0.2198486061</t>
  </si>
  <si>
    <t>0.246539545</t>
  </si>
  <si>
    <t>0.2551757238</t>
  </si>
  <si>
    <t>0.2465526171</t>
  </si>
  <si>
    <t>0.2486501428</t>
  </si>
  <si>
    <t>0.2530538072</t>
  </si>
  <si>
    <t>0.2486811794</t>
  </si>
  <si>
    <t>0.2507527325</t>
  </si>
  <si>
    <t>0.248665449</t>
  </si>
  <si>
    <t>0.2551920964</t>
  </si>
  <si>
    <t>0.259385596</t>
  </si>
  <si>
    <t>0.2530007871</t>
  </si>
  <si>
    <t>0.2551018762</t>
  </si>
  <si>
    <t>0.2465421208</t>
  </si>
  <si>
    <t>0.2444473523</t>
  </si>
  <si>
    <t>0.2444463507</t>
  </si>
  <si>
    <t>0.2423473219</t>
  </si>
  <si>
    <t>0.2456729775</t>
  </si>
  <si>
    <t>0.0020412185</t>
  </si>
  <si>
    <t>0.0020350854</t>
  </si>
  <si>
    <t>0.002039957</t>
  </si>
  <si>
    <t>0.0061314893</t>
  </si>
  <si>
    <t>0.0061308647</t>
  </si>
  <si>
    <t>0.0040972652</t>
  </si>
  <si>
    <t>0.1646218007</t>
  </si>
  <si>
    <t>0.1732579795</t>
  </si>
  <si>
    <t>0.1646348728</t>
  </si>
  <si>
    <t>0.1667323985</t>
  </si>
  <si>
    <t>0.1711360629</t>
  </si>
  <si>
    <t>0.1667634351</t>
  </si>
  <si>
    <t>0.1688349882</t>
  </si>
  <si>
    <t>0.1667477047</t>
  </si>
  <si>
    <t>0.1732743521</t>
  </si>
  <si>
    <t>0.1774678517</t>
  </si>
  <si>
    <t>0.1710830428</t>
  </si>
  <si>
    <t>0.1731841319</t>
  </si>
  <si>
    <t>0.1646243765</t>
  </si>
  <si>
    <t>0.162529608</t>
  </si>
  <si>
    <t>0.1625286064</t>
  </si>
  <si>
    <t>0.1604295776</t>
  </si>
  <si>
    <t>0.2320129186</t>
  </si>
  <si>
    <t>0.0040639075</t>
  </si>
  <si>
    <t>0.0040733783</t>
  </si>
  <si>
    <t>0.0081649106</t>
  </si>
  <si>
    <t>0.008164286</t>
  </si>
  <si>
    <t>0.0061306865</t>
  </si>
  <si>
    <t>0.166655222</t>
  </si>
  <si>
    <t>0.1752914008</t>
  </si>
  <si>
    <t>0.1666682941</t>
  </si>
  <si>
    <t>0.1687658198</t>
  </si>
  <si>
    <t>0.1731694842</t>
  </si>
  <si>
    <t>0.1687968564</t>
  </si>
  <si>
    <t>0.1708684095</t>
  </si>
  <si>
    <t>0.168781126</t>
  </si>
  <si>
    <t>0.1753077734</t>
  </si>
  <si>
    <t>0.179501273</t>
  </si>
  <si>
    <t>0.1731164641</t>
  </si>
  <si>
    <t>0.1752175532</t>
  </si>
  <si>
    <t>0.1666577978</t>
  </si>
  <si>
    <t>0.1645630293</t>
  </si>
  <si>
    <t>0.1645620277</t>
  </si>
  <si>
    <t>0.1624629989</t>
  </si>
  <si>
    <t>0.2340463399</t>
  </si>
  <si>
    <t>0.0040672452</t>
  </si>
  <si>
    <t>0.0081587775</t>
  </si>
  <si>
    <t>0.0081581529</t>
  </si>
  <si>
    <t>0.0061245534</t>
  </si>
  <si>
    <t>0.1666490889</t>
  </si>
  <si>
    <t>0.1752852677</t>
  </si>
  <si>
    <t>0.166662161</t>
  </si>
  <si>
    <t>0.1687596867</t>
  </si>
  <si>
    <t>0.1731633511</t>
  </si>
  <si>
    <t>0.1687907233</t>
  </si>
  <si>
    <t>0.1708622764</t>
  </si>
  <si>
    <t>0.1687749929</t>
  </si>
  <si>
    <t>0.1753016403</t>
  </si>
  <si>
    <t>0.1794951399</t>
  </si>
  <si>
    <t>0.173110331</t>
  </si>
  <si>
    <t>0.1752114201</t>
  </si>
  <si>
    <t>0.1666516647</t>
  </si>
  <si>
    <t>0.1645568962</t>
  </si>
  <si>
    <t>0.1645558946</t>
  </si>
  <si>
    <t>0.1624568658</t>
  </si>
  <si>
    <t>0.2340402068</t>
  </si>
  <si>
    <t>0.0081596109</t>
  </si>
  <si>
    <t>0.0081589863</t>
  </si>
  <si>
    <t>0.0061253868</t>
  </si>
  <si>
    <t>0.1666499223</t>
  </si>
  <si>
    <t>0.1752861011</t>
  </si>
  <si>
    <t>0.1666629944</t>
  </si>
  <si>
    <t>0.1687605201</t>
  </si>
  <si>
    <t>0.1731641845</t>
  </si>
  <si>
    <t>0.1687915567</t>
  </si>
  <si>
    <t>0.1708631098</t>
  </si>
  <si>
    <t>0.1687758263</t>
  </si>
  <si>
    <t>0.1753024737</t>
  </si>
  <si>
    <t>0.1794959733</t>
  </si>
  <si>
    <t>0.1731111644</t>
  </si>
  <si>
    <t>0.1752122535</t>
  </si>
  <si>
    <t>0.1666524981</t>
  </si>
  <si>
    <t>0.1645577296</t>
  </si>
  <si>
    <t>0.164556728</t>
  </si>
  <si>
    <t>0.1624576992</t>
  </si>
  <si>
    <t>0.2340410402</t>
  </si>
  <si>
    <t>0.000005187</t>
  </si>
  <si>
    <t>0.0020395433</t>
  </si>
  <si>
    <t>0.1650756756</t>
  </si>
  <si>
    <t>0.1737118544</t>
  </si>
  <si>
    <t>0.1650887477</t>
  </si>
  <si>
    <t>0.1671862734</t>
  </si>
  <si>
    <t>0.1715899378</t>
  </si>
  <si>
    <t>0.16721731</t>
  </si>
  <si>
    <t>0.1692888631</t>
  </si>
  <si>
    <t>0.1672015796</t>
  </si>
  <si>
    <t>0.173728227</t>
  </si>
  <si>
    <t>0.1779217266</t>
  </si>
  <si>
    <t>0.1715369177</t>
  </si>
  <si>
    <t>0.1736380068</t>
  </si>
  <si>
    <t>0.1650782514</t>
  </si>
  <si>
    <t>0.1629834829</t>
  </si>
  <si>
    <t>0.1629824813</t>
  </si>
  <si>
    <t>0.1608834525</t>
  </si>
  <si>
    <t>0.2324667935</t>
  </si>
  <si>
    <t>0.0020389187</t>
  </si>
  <si>
    <t>0.165075051</t>
  </si>
  <si>
    <t>0.1737112298</t>
  </si>
  <si>
    <t>0.1650881231</t>
  </si>
  <si>
    <t>0.1671856488</t>
  </si>
  <si>
    <t>0.1715893132</t>
  </si>
  <si>
    <t>0.1672166854</t>
  </si>
  <si>
    <t>0.1692882385</t>
  </si>
  <si>
    <t>0.167200955</t>
  </si>
  <si>
    <t>0.1737276024</t>
  </si>
  <si>
    <t>0.177921102</t>
  </si>
  <si>
    <t>0.1715362931</t>
  </si>
  <si>
    <t>0.1736373822</t>
  </si>
  <si>
    <t>0.1650776268</t>
  </si>
  <si>
    <t>0.1629828583</t>
  </si>
  <si>
    <t>0.1629818567</t>
  </si>
  <si>
    <t>0.1608828279</t>
  </si>
  <si>
    <t>0.2324661689</t>
  </si>
  <si>
    <t>0.1630414515</t>
  </si>
  <si>
    <t>0.1716776303</t>
  </si>
  <si>
    <t>0.1630545236</t>
  </si>
  <si>
    <t>0.1651520493</t>
  </si>
  <si>
    <t>0.1695557137</t>
  </si>
  <si>
    <t>0.1651830859</t>
  </si>
  <si>
    <t>0.167254639</t>
  </si>
  <si>
    <t>0.1651673555</t>
  </si>
  <si>
    <t>0.1716940029</t>
  </si>
  <si>
    <t>0.1758875025</t>
  </si>
  <si>
    <t>0.1695026936</t>
  </si>
  <si>
    <t>0.1716037827</t>
  </si>
  <si>
    <t>0.1630440273</t>
  </si>
  <si>
    <t>0.1609492588</t>
  </si>
  <si>
    <t>0.1609482572</t>
  </si>
  <si>
    <t>0.1588492284</t>
  </si>
  <si>
    <t>0.2304325694</t>
  </si>
  <si>
    <t>0.0128245706</t>
  </si>
  <si>
    <t>0.0042034671</t>
  </si>
  <si>
    <t>0.0063009928</t>
  </si>
  <si>
    <t>0.0107046572</t>
  </si>
  <si>
    <t>0.0063320294</t>
  </si>
  <si>
    <t>0.0084035825</t>
  </si>
  <si>
    <t>0.006316299</t>
  </si>
  <si>
    <t>0.0128429464</t>
  </si>
  <si>
    <t>0.017036446</t>
  </si>
  <si>
    <t>0.0106516371</t>
  </si>
  <si>
    <t>0.0127527262</t>
  </si>
  <si>
    <t>0.0041929708</t>
  </si>
  <si>
    <t>0.0020982023</t>
  </si>
  <si>
    <t>0.0020972007</t>
  </si>
  <si>
    <t>0.0041966343</t>
  </si>
  <si>
    <t>0.2571235083</t>
  </si>
  <si>
    <t>0.0128396459</t>
  </si>
  <si>
    <t>0.0149371716</t>
  </si>
  <si>
    <t>0.019340836</t>
  </si>
  <si>
    <t>0.0149682082</t>
  </si>
  <si>
    <t>0.0170397613</t>
  </si>
  <si>
    <t>0.0149524778</t>
  </si>
  <si>
    <t>0.0214791252</t>
  </si>
  <si>
    <t>0.0256726248</t>
  </si>
  <si>
    <t>0.0192878159</t>
  </si>
  <si>
    <t>0.021388905</t>
  </si>
  <si>
    <t>0.0128291496</t>
  </si>
  <si>
    <t>0.0107343811</t>
  </si>
  <si>
    <t>0.0107333795</t>
  </si>
  <si>
    <t>0.0128328131</t>
  </si>
  <si>
    <t>0.2657596871</t>
  </si>
  <si>
    <t>0.0021019337</t>
  </si>
  <si>
    <t>0.0107041713</t>
  </si>
  <si>
    <t>0.0063370887</t>
  </si>
  <si>
    <t>0.0084086418</t>
  </si>
  <si>
    <t>0.0063213583</t>
  </si>
  <si>
    <t>0.0128500089</t>
  </si>
  <si>
    <t>0.0170435085</t>
  </si>
  <si>
    <t>0.0106586996</t>
  </si>
  <si>
    <t>0.0127597887</t>
  </si>
  <si>
    <t>0.0042000333</t>
  </si>
  <si>
    <t>0.002107268</t>
  </si>
  <si>
    <t>0.0021082696</t>
  </si>
  <si>
    <t>0.0042097064</t>
  </si>
  <si>
    <t>0.2571365804</t>
  </si>
  <si>
    <t>0.012801697</t>
  </si>
  <si>
    <t>0.0084346144</t>
  </si>
  <si>
    <t>0.0105061675</t>
  </si>
  <si>
    <t>0.008418884</t>
  </si>
  <si>
    <t>0.0149475346</t>
  </si>
  <si>
    <t>0.0191410342</t>
  </si>
  <si>
    <t>0.0127562253</t>
  </si>
  <si>
    <t>0.0148573144</t>
  </si>
  <si>
    <t>0.006297559</t>
  </si>
  <si>
    <t>0.0042047937</t>
  </si>
  <si>
    <t>0.0042057953</t>
  </si>
  <si>
    <t>0.0063072321</t>
  </si>
  <si>
    <t>0.2592341061</t>
  </si>
  <si>
    <t>0.0128382788</t>
  </si>
  <si>
    <t>0.0149098319</t>
  </si>
  <si>
    <t>0.0128225484</t>
  </si>
  <si>
    <t>0.019351199</t>
  </si>
  <si>
    <t>0.0235446986</t>
  </si>
  <si>
    <t>0.0171598897</t>
  </si>
  <si>
    <t>0.0192609788</t>
  </si>
  <si>
    <t>0.0107012234</t>
  </si>
  <si>
    <t>0.0086084581</t>
  </si>
  <si>
    <t>0.0086094597</t>
  </si>
  <si>
    <t>0.0107108965</t>
  </si>
  <si>
    <t>0.2636377705</t>
  </si>
  <si>
    <t>0.0105352009</t>
  </si>
  <si>
    <t>0.0084479174</t>
  </si>
  <si>
    <t>0.0149785712</t>
  </si>
  <si>
    <t>0.0191720708</t>
  </si>
  <si>
    <t>0.0127872619</t>
  </si>
  <si>
    <t>0.014888351</t>
  </si>
  <si>
    <t>0.0063285956</t>
  </si>
  <si>
    <t>0.0042358303</t>
  </si>
  <si>
    <t>0.0042368319</t>
  </si>
  <si>
    <t>0.0063382687</t>
  </si>
  <si>
    <t>0.2592651427</t>
  </si>
  <si>
    <t>0.0020892867</t>
  </si>
  <si>
    <t>0.0170501243</t>
  </si>
  <si>
    <t>0.0212436239</t>
  </si>
  <si>
    <t>0.014858815</t>
  </si>
  <si>
    <t>0.0169599041</t>
  </si>
  <si>
    <t>0.0084001487</t>
  </si>
  <si>
    <t>0.0063073834</t>
  </si>
  <si>
    <t>0.006308385</t>
  </si>
  <si>
    <t>0.0084098218</t>
  </si>
  <si>
    <t>0.2613366958</t>
  </si>
  <si>
    <t>0.0149628408</t>
  </si>
  <si>
    <t>0.0191563404</t>
  </si>
  <si>
    <t>0.0127715315</t>
  </si>
  <si>
    <t>0.0148726206</t>
  </si>
  <si>
    <t>0.0063128652</t>
  </si>
  <si>
    <t>0.0042200999</t>
  </si>
  <si>
    <t>0.0042211015</t>
  </si>
  <si>
    <t>0.0063225383</t>
  </si>
  <si>
    <t>0.2592494123</t>
  </si>
  <si>
    <t>0.004197506</t>
  </si>
  <si>
    <t>0.0153053073</t>
  </si>
  <si>
    <t>0.0174063964</t>
  </si>
  <si>
    <t>0.0128375094</t>
  </si>
  <si>
    <t>0.0107467473</t>
  </si>
  <si>
    <t>0.0107477489</t>
  </si>
  <si>
    <t>0.0128491857</t>
  </si>
  <si>
    <t>0.2657760597</t>
  </si>
  <si>
    <t>0.0194988069</t>
  </si>
  <si>
    <t>0.021599896</t>
  </si>
  <si>
    <t>0.017031009</t>
  </si>
  <si>
    <t>0.0149402469</t>
  </si>
  <si>
    <t>0.0149412485</t>
  </si>
  <si>
    <t>0.0170426853</t>
  </si>
  <si>
    <t>0.2699695593</t>
  </si>
  <si>
    <t>0.0021050955</t>
  </si>
  <si>
    <t>0.0106462001</t>
  </si>
  <si>
    <t>0.008555438</t>
  </si>
  <si>
    <t>0.0085564396</t>
  </si>
  <si>
    <t>0.0106578764</t>
  </si>
  <si>
    <t>0.2635847504</t>
  </si>
  <si>
    <t>0.0127472892</t>
  </si>
  <si>
    <t>0.0106565271</t>
  </si>
  <si>
    <t>0.0106575287</t>
  </si>
  <si>
    <t>0.0127589655</t>
  </si>
  <si>
    <t>0.2656858395</t>
  </si>
  <si>
    <t>0.0020967717</t>
  </si>
  <si>
    <t>0.0020977733</t>
  </si>
  <si>
    <t>0.0041992101</t>
  </si>
  <si>
    <t>0.2571260841</t>
  </si>
  <si>
    <t>0.0000030048</t>
  </si>
  <si>
    <t>0.0021044416</t>
  </si>
  <si>
    <t>0.2550313156</t>
  </si>
  <si>
    <t>0.00210344</t>
  </si>
  <si>
    <t>0.255030314</t>
  </si>
  <si>
    <t>0.2529312852</t>
  </si>
</sst>
</file>

<file path=xl/styles.xml><?xml version="1.0" encoding="utf-8"?>
<styleSheet xmlns="http://schemas.openxmlformats.org/spreadsheetml/2006/main">
  <numFmts count="10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4" formatCode="#,##0.00"/>
    <numFmt numFmtId="11" formatCode="0.00E+00"/>
  </numFmts>
  <fonts count="54">
    <font>
      <name val="Arial"/>
      <family val="1"/>
      <color rgb="FF000000"/>
      <sz val="10"/>
      <extLst>
        <ext uri="smNativeData">
          <pm:charSpec xmlns:pm="smNativeData" id="1789706791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9706791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b/>
      <i/>
      <color rgb="FF000000"/>
      <sz val="11"/>
      <extLst>
        <ext uri="smNativeData">
          <pm:charSpec xmlns:pm="smNativeData" id="1789706791" ulstyle="none" kern="1">
            <pm:latin face="Arial" sz="220" lang="default" weight="bold" i="1"/>
            <pm:cs face="Basic Roman" sz="220" lang="default" weight="bold" i="1"/>
            <pm:ea face="Basic Roman" sz="220" lang="default" weight="bold" i="1"/>
          </pm:charSpec>
        </ext>
      </extLst>
    </font>
    <font>
      <name val="Arial"/>
      <family val="1"/>
      <color rgb="FF000000"/>
      <sz val="11"/>
      <extLst>
        <ext uri="smNativeData">
          <pm:charSpec xmlns:pm="smNativeData" id="1789706791" ulstyle="none" kern="1">
            <pm:latin face="Arial" sz="220" lang="default"/>
            <pm:cs face="Basic Roman" sz="220" lang="default"/>
            <pm:ea face="Basic Roman" sz="220" lang="default"/>
          </pm:charSpec>
        </ext>
      </extLst>
    </font>
    <font>
      <name val="Arial"/>
      <family val="1"/>
      <b/>
      <color rgb="FF000000"/>
      <sz val="11"/>
      <extLst>
        <ext uri="smNativeData">
          <pm:charSpec xmlns:pm="smNativeData" id="1789706791" ulstyle="none" kern="1">
            <pm:latin face="Arial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89706791" ulstyle="none" kern="1">
            <pm:latin face="Arial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89706791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Ubuntu Mono"/>
      <family val="1"/>
      <b/>
      <color rgb="FF6D3120"/>
      <sz val="10"/>
      <extLst>
        <ext uri="smNativeData">
          <pm:charSpec xmlns:pm="smNativeData" id="1789706791" fgClr="6D3120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732312"/>
      <sz val="10"/>
      <extLst>
        <ext uri="smNativeData">
          <pm:charSpec xmlns:pm="smNativeData" id="1789706791" fgClr="732312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7E2804"/>
      <sz val="10"/>
      <extLst>
        <ext uri="smNativeData">
          <pm:charSpec xmlns:pm="smNativeData" id="1789706791" fgClr="7E2804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601A0E"/>
      <sz val="10"/>
      <extLst>
        <ext uri="smNativeData">
          <pm:charSpec xmlns:pm="smNativeData" id="1789706791" fgClr="601A0E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E0B282"/>
      <sz val="10"/>
      <extLst>
        <ext uri="smNativeData">
          <pm:charSpec xmlns:pm="smNativeData" id="1789706791" fgClr="E0B282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52210A"/>
      <sz val="10"/>
      <extLst>
        <ext uri="smNativeData">
          <pm:charSpec xmlns:pm="smNativeData" id="1789706791" fgClr="52210A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8B401E"/>
      <sz val="10"/>
      <extLst>
        <ext uri="smNativeData">
          <pm:charSpec xmlns:pm="smNativeData" id="1789706791" fgClr="8B401E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361514"/>
      <sz val="10"/>
      <extLst>
        <ext uri="smNativeData">
          <pm:charSpec xmlns:pm="smNativeData" id="1789706791" fgClr="361514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9D5F2F"/>
      <sz val="10"/>
      <extLst>
        <ext uri="smNativeData">
          <pm:charSpec xmlns:pm="smNativeData" id="1789706791" fgClr="9D5F2F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6E240D"/>
      <sz val="10"/>
      <extLst>
        <ext uri="smNativeData">
          <pm:charSpec xmlns:pm="smNativeData" id="1789706791" fgClr="6E240D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833E05"/>
      <sz val="10"/>
      <extLst>
        <ext uri="smNativeData">
          <pm:charSpec xmlns:pm="smNativeData" id="1789706791" fgClr="833E05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712D0A"/>
      <sz val="10"/>
      <extLst>
        <ext uri="smNativeData">
          <pm:charSpec xmlns:pm="smNativeData" id="1789706791" fgClr="712D0A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934116"/>
      <sz val="10"/>
      <extLst>
        <ext uri="smNativeData">
          <pm:charSpec xmlns:pm="smNativeData" id="1789706791" fgClr="934116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953B0C"/>
      <sz val="10"/>
      <extLst>
        <ext uri="smNativeData">
          <pm:charSpec xmlns:pm="smNativeData" id="1789706791" fgClr="953B0C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9B501F"/>
      <sz val="10"/>
      <extLst>
        <ext uri="smNativeData">
          <pm:charSpec xmlns:pm="smNativeData" id="1789706791" fgClr="9B501F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6D1B09"/>
      <sz val="10"/>
      <extLst>
        <ext uri="smNativeData">
          <pm:charSpec xmlns:pm="smNativeData" id="1789706791" fgClr="6D1B09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72270E"/>
      <sz val="10"/>
      <extLst>
        <ext uri="smNativeData">
          <pm:charSpec xmlns:pm="smNativeData" id="1789706791" fgClr="72270E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471103"/>
      <sz val="10"/>
      <extLst>
        <ext uri="smNativeData">
          <pm:charSpec xmlns:pm="smNativeData" id="1789706791" fgClr="471103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531A08"/>
      <sz val="10"/>
      <extLst>
        <ext uri="smNativeData">
          <pm:charSpec xmlns:pm="smNativeData" id="1789706791" fgClr="531A08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E39472"/>
      <sz val="10"/>
      <extLst>
        <ext uri="smNativeData">
          <pm:charSpec xmlns:pm="smNativeData" id="1789706791" fgClr="E39472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D7864D"/>
      <sz val="10"/>
      <extLst>
        <ext uri="smNativeData">
          <pm:charSpec xmlns:pm="smNativeData" id="1789706791" fgClr="D7864D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291814"/>
      <sz val="10"/>
      <extLst>
        <ext uri="smNativeData">
          <pm:charSpec xmlns:pm="smNativeData" id="1789706791" fgClr="291814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C08164"/>
      <sz val="10"/>
      <extLst>
        <ext uri="smNativeData">
          <pm:charSpec xmlns:pm="smNativeData" id="1789706791" fgClr="C08164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D68558"/>
      <sz val="10"/>
      <extLst>
        <ext uri="smNativeData">
          <pm:charSpec xmlns:pm="smNativeData" id="1789706791" fgClr="D68558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DFA492"/>
      <sz val="10"/>
      <extLst>
        <ext uri="smNativeData">
          <pm:charSpec xmlns:pm="smNativeData" id="1789706791" fgClr="DFA492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E5A47A"/>
      <sz val="10"/>
      <extLst>
        <ext uri="smNativeData">
          <pm:charSpec xmlns:pm="smNativeData" id="1789706791" fgClr="E5A47A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C06E42"/>
      <sz val="10"/>
      <extLst>
        <ext uri="smNativeData">
          <pm:charSpec xmlns:pm="smNativeData" id="1789706791" fgClr="C06E42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3C2729"/>
      <sz val="10"/>
      <extLst>
        <ext uri="smNativeData">
          <pm:charSpec xmlns:pm="smNativeData" id="1789706791" fgClr="3C2729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3D1412"/>
      <sz val="10"/>
      <extLst>
        <ext uri="smNativeData">
          <pm:charSpec xmlns:pm="smNativeData" id="1789706791" fgClr="3D1412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C77B54"/>
      <sz val="10"/>
      <extLst>
        <ext uri="smNativeData">
          <pm:charSpec xmlns:pm="smNativeData" id="1789706791" fgClr="C77B54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AB6848"/>
      <sz val="10"/>
      <extLst>
        <ext uri="smNativeData">
          <pm:charSpec xmlns:pm="smNativeData" id="1789706791" fgClr="AB6848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color rgb="FF000000"/>
      <sz val="10"/>
      <extLst>
        <ext uri="smNativeData">
          <pm:charSpec xmlns:pm="smNativeData" id="1789706791" ulstyle="none" kern="1">
            <pm:latin face="Ubuntu Mono" sz="200" lang="default"/>
            <pm:cs face="Basic Roman" sz="200" lang="default"/>
            <pm:ea face="Basic Roman" sz="200" lang="default"/>
          </pm:charSpec>
        </ext>
      </extLst>
    </font>
    <font>
      <name val="Ubuntu Mono"/>
      <family val="1"/>
      <b/>
      <color rgb="FF0F0908"/>
      <sz val="10"/>
      <extLst>
        <ext uri="smNativeData">
          <pm:charSpec xmlns:pm="smNativeData" id="1789706791" fgClr="0F0908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161007"/>
      <sz val="10"/>
      <extLst>
        <ext uri="smNativeData">
          <pm:charSpec xmlns:pm="smNativeData" id="1789706791" fgClr="161007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1C1110"/>
      <sz val="10"/>
      <extLst>
        <ext uri="smNativeData">
          <pm:charSpec xmlns:pm="smNativeData" id="1789706791" fgClr="1C1110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0F0505"/>
      <sz val="10"/>
      <extLst>
        <ext uri="smNativeData">
          <pm:charSpec xmlns:pm="smNativeData" id="1789706791" fgClr="0F0505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200D07"/>
      <sz val="10"/>
      <extLst>
        <ext uri="smNativeData">
          <pm:charSpec xmlns:pm="smNativeData" id="1789706791" fgClr="200D07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1F190F"/>
      <sz val="10"/>
      <extLst>
        <ext uri="smNativeData">
          <pm:charSpec xmlns:pm="smNativeData" id="1789706791" fgClr="1F190F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0B0B01"/>
      <sz val="10"/>
      <extLst>
        <ext uri="smNativeData">
          <pm:charSpec xmlns:pm="smNativeData" id="1789706791" fgClr="0B0B01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0B0403"/>
      <sz val="10"/>
      <extLst>
        <ext uri="smNativeData">
          <pm:charSpec xmlns:pm="smNativeData" id="1789706791" fgClr="0B0403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160902"/>
      <sz val="10"/>
      <extLst>
        <ext uri="smNativeData">
          <pm:charSpec xmlns:pm="smNativeData" id="1789706791" fgClr="160902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090200"/>
      <sz val="10"/>
      <extLst>
        <ext uri="smNativeData">
          <pm:charSpec xmlns:pm="smNativeData" id="1789706791" fgClr="090200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080203"/>
      <sz val="10"/>
      <extLst>
        <ext uri="smNativeData">
          <pm:charSpec xmlns:pm="smNativeData" id="1789706791" fgClr="080203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000000"/>
      <sz val="10"/>
      <extLst>
        <ext uri="smNativeData">
          <pm:charSpec xmlns:pm="smNativeData" id="1789706791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Ubuntu Mono"/>
      <family val="1"/>
      <b/>
      <color rgb="FF080506"/>
      <sz val="10"/>
      <extLst>
        <ext uri="smNativeData">
          <pm:charSpec xmlns:pm="smNativeData" id="1789706791" fgClr="080506" ulstyle="none" kern="1">
            <pm:latin face="Ubuntu Mono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Arial"/>
      <family val="1"/>
      <b/>
      <color rgb="FF000000"/>
      <sz val="11"/>
      <extLst>
        <ext uri="smNativeData">
          <pm:charSpec xmlns:pm="smNativeData" id="1789706791" ulstyle="none" kern="1">
            <pm:latin face="Arial" sz="220" lang="default" weight="bold"/>
            <pm:cs face="Basic Roman" sz="200" lang="default"/>
            <pm:ea face="Basic Roman" sz="200" lang="default"/>
          </pm:charSpec>
        </ext>
      </extLst>
    </font>
    <font>
      <name val="Arial"/>
      <family val="1"/>
      <b/>
      <color rgb="FF000000"/>
      <sz val="11"/>
      <extLst>
        <ext uri="smNativeData">
          <pm:charSpec xmlns:pm="smNativeData" id="1789706791" ulstyle="none" kern="1">
            <pm:latin face="Arial" sz="220" lang="default" weight="bold"/>
            <pm:cs face="Basic Roman" sz="220" lang="default" weight="bold" i="1"/>
            <pm:ea face="Basic Roman" sz="220" lang="default" weight="bold" i="1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9706791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33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7" fillId="0" borderId="0" xfId="0" applyFont="1" applyAlignment="1">
      <alignment horizontal="right"/>
    </xf>
    <xf numFmtId="0" fontId="38" fillId="0" borderId="0" xfId="0" applyFont="1"/>
    <xf numFmtId="0" fontId="39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41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0" fontId="43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45" fillId="0" borderId="0" xfId="0" applyFont="1" applyAlignment="1">
      <alignment horizontal="right"/>
    </xf>
    <xf numFmtId="0" fontId="46" fillId="0" borderId="0" xfId="0" applyFont="1" applyAlignment="1">
      <alignment horizontal="right"/>
    </xf>
    <xf numFmtId="0" fontId="47" fillId="0" borderId="0" xfId="0" applyFont="1" applyAlignment="1">
      <alignment horizontal="right"/>
    </xf>
    <xf numFmtId="0" fontId="48" fillId="0" borderId="0" xfId="0" applyFont="1" applyAlignment="1">
      <alignment horizontal="right"/>
    </xf>
    <xf numFmtId="0" fontId="49" fillId="0" borderId="0" xfId="0" applyFont="1" applyAlignment="1">
      <alignment horizontal="right"/>
    </xf>
    <xf numFmtId="0" fontId="50" fillId="0" borderId="0" xfId="0" applyFont="1" applyAlignment="1">
      <alignment horizontal="right"/>
    </xf>
    <xf numFmtId="0" fontId="51" fillId="0" borderId="0" xfId="0" applyFont="1" applyAlignment="1">
      <alignment horizontal="righ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0" fontId="52" fillId="0" borderId="0" xfId="0" applyFont="1" applyAlignment="1">
      <alignment wrapText="1"/>
    </xf>
    <xf numFmtId="0" fontId="52" fillId="0" borderId="0" xfId="0" applyFont="1"/>
    <xf numFmtId="0" fontId="53" fillId="0" borderId="0" xfId="0" applyFont="1"/>
    <xf numFmtId="0" fontId="52" fillId="0" borderId="0" xfId="0" applyFont="1" applyAlignment="1">
      <alignment horizontal="left" wrapText="1"/>
    </xf>
    <xf numFmtId="0" fontId="52" fillId="0" borderId="0" xfId="0" applyFont="1" applyAlignment="1">
      <alignment horizontal="left"/>
    </xf>
  </cellXfs>
  <cellStyles count="1">
    <cellStyle name="Normal" xfId="0" builtinId="0" customBuiltin="1"/>
  </cellStyles>
  <tableStyles count="0"/>
  <extLst>
    <ext uri="smNativeData">
      <pm:charStyles xmlns:pm="smNativeData" id="1789706791" count="1">
        <pm:charStyle name="Normal" fontId="0" Id="1"/>
      </pm:charStyles>
      <pm:colors xmlns:pm="smNativeData" id="1789706791" count="44">
        <pm:color name="Color 24" rgb="6D3120"/>
        <pm:color name="Color 25" rgb="732312"/>
        <pm:color name="Color 26" rgb="7E2804"/>
        <pm:color name="Color 27" rgb="601A0E"/>
        <pm:color name="Color 28" rgb="E0B282"/>
        <pm:color name="Color 29" rgb="52210A"/>
        <pm:color name="Color 30" rgb="8B401E"/>
        <pm:color name="Color 31" rgb="361514"/>
        <pm:color name="Color 32" rgb="9D5F2F"/>
        <pm:color name="Color 33" rgb="6E240D"/>
        <pm:color name="Color 34" rgb="833E05"/>
        <pm:color name="Color 35" rgb="712D0A"/>
        <pm:color name="Color 36" rgb="934116"/>
        <pm:color name="Color 37" rgb="953B0C"/>
        <pm:color name="Color 38" rgb="9B501F"/>
        <pm:color name="Color 39" rgb="6D1B09"/>
        <pm:color name="Color 40" rgb="72270E"/>
        <pm:color name="Color 41" rgb="471103"/>
        <pm:color name="Color 42" rgb="531A08"/>
        <pm:color name="Color 43" rgb="E39472"/>
        <pm:color name="Color 44" rgb="D7864D"/>
        <pm:color name="Color 45" rgb="291814"/>
        <pm:color name="Color 46" rgb="C08164"/>
        <pm:color name="Color 47" rgb="D68558"/>
        <pm:color name="Color 48" rgb="DFA492"/>
        <pm:color name="Color 49" rgb="E5A47A"/>
        <pm:color name="Color 50" rgb="682A28"/>
        <pm:color name="Color 51" rgb="C06E42"/>
        <pm:color name="Color 52" rgb="3C2729"/>
        <pm:color name="Color 53" rgb="3D1412"/>
        <pm:color name="Color 54" rgb="C77B54"/>
        <pm:color name="Color 55" rgb="AB6848"/>
        <pm:color name="Color 56" rgb="0F0908"/>
        <pm:color name="Color 57" rgb="161007"/>
        <pm:color name="Color 58" rgb="1C1110"/>
        <pm:color name="Color 59" rgb="0F0505"/>
        <pm:color name="Color 60" rgb="200D07"/>
        <pm:color name="Color 61" rgb="1F190F"/>
        <pm:color name="Color 62" rgb="0B0B01"/>
        <pm:color name="Color 63" rgb="0B0403"/>
        <pm:color name="Color 64" rgb="160902"/>
        <pm:color name="Color 65" rgb="090200"/>
        <pm:color name="Color 66" rgb="080203"/>
        <pm:color name="Color 67" rgb="080506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Right="0" summaryBelow="0"/>
  </sheetPr>
  <dimension ref="A1:P954"/>
  <sheetViews>
    <sheetView view="normal" workbookViewId="0">
      <selection activeCell="A1" sqref="A1:H1"/>
    </sheetView>
  </sheetViews>
  <sheetFormatPr baseColWidth="11" defaultColWidth="12.630631" defaultRowHeight="15.75" customHeight="1"/>
  <cols>
    <col min="1" max="1" width="18.630631" customWidth="1"/>
    <col min="2" max="2" width="29.495495" customWidth="1"/>
    <col min="3" max="3" width="64.882883" customWidth="1"/>
    <col min="4" max="4" width="36.378378" customWidth="1"/>
  </cols>
  <sheetData>
    <row r="1" spans="1:16" ht="15.75" customHeight="1">
      <c r="A1" s="62" t="s">
        <v>0</v>
      </c>
      <c r="I1" s="2"/>
      <c r="J1" s="2"/>
      <c r="K1" s="2"/>
      <c r="L1" s="2"/>
      <c r="M1" s="2"/>
      <c r="N1" s="2"/>
      <c r="O1" s="2"/>
      <c r="P1" s="2"/>
    </row>
    <row r="2" spans="1:16" ht="15.75" customHeight="1">
      <c r="A2" s="1"/>
      <c r="B2" s="1"/>
      <c r="C2" s="1"/>
      <c r="D2" s="1"/>
      <c r="E2" s="1"/>
      <c r="F2" s="3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.7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5.75" customHeight="1">
      <c r="A5" s="2" t="s">
        <v>6</v>
      </c>
      <c r="B5" s="2" t="s">
        <v>11</v>
      </c>
      <c r="C5" s="2" t="s">
        <v>8</v>
      </c>
      <c r="D5" s="2" t="s">
        <v>12</v>
      </c>
      <c r="E5" s="2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5.75" customHeight="1">
      <c r="A6" s="2" t="s">
        <v>6</v>
      </c>
      <c r="B6" s="2" t="s">
        <v>13</v>
      </c>
      <c r="C6" s="2" t="s">
        <v>14</v>
      </c>
      <c r="D6" s="2" t="s">
        <v>15</v>
      </c>
      <c r="E6" s="2" t="s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.75" customHeight="1">
      <c r="A7" s="2" t="s">
        <v>16</v>
      </c>
      <c r="B7" s="2" t="s">
        <v>17</v>
      </c>
      <c r="C7" s="4" t="s">
        <v>8</v>
      </c>
      <c r="D7" s="2" t="s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5.75" customHeight="1">
      <c r="A8" s="2" t="s">
        <v>16</v>
      </c>
      <c r="B8" s="2" t="s">
        <v>19</v>
      </c>
      <c r="C8" s="4" t="s">
        <v>20</v>
      </c>
      <c r="D8" s="2" t="s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5.75" customHeight="1">
      <c r="A9" s="2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5.75" customHeight="1">
      <c r="A10" s="2" t="s">
        <v>21</v>
      </c>
      <c r="B10" s="2" t="s">
        <v>26</v>
      </c>
      <c r="C10" s="2" t="s">
        <v>27</v>
      </c>
      <c r="D10" s="2" t="s">
        <v>24</v>
      </c>
      <c r="E10" s="2" t="s">
        <v>25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.75" customHeight="1">
      <c r="A11" s="2" t="s">
        <v>21</v>
      </c>
      <c r="B11" s="2" t="s">
        <v>28</v>
      </c>
      <c r="C11" s="2" t="s">
        <v>29</v>
      </c>
      <c r="D11" s="2" t="s">
        <v>24</v>
      </c>
      <c r="E11" s="2" t="s">
        <v>25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5.75" customHeight="1">
      <c r="A12" s="2" t="s">
        <v>21</v>
      </c>
      <c r="B12" s="2" t="s">
        <v>30</v>
      </c>
      <c r="C12" s="2" t="s">
        <v>29</v>
      </c>
      <c r="D12" s="2" t="s">
        <v>24</v>
      </c>
      <c r="E12" s="2" t="s">
        <v>25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15.75" customHeight="1">
      <c r="A13" s="2" t="s">
        <v>31</v>
      </c>
      <c r="B13" s="2" t="s">
        <v>32</v>
      </c>
      <c r="C13" s="2" t="s">
        <v>33</v>
      </c>
      <c r="D13" s="2" t="s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5.75" customHeight="1">
      <c r="A14" s="2" t="s">
        <v>34</v>
      </c>
      <c r="B14" s="2" t="s">
        <v>26</v>
      </c>
      <c r="C14" s="2" t="s">
        <v>35</v>
      </c>
      <c r="D14" s="2" t="s">
        <v>36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5:16" ht="15.75" customHeight="1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.75" customHeight="1">
      <c r="A23" s="2"/>
      <c r="G23" s="2"/>
      <c r="H23" s="2"/>
      <c r="I23" s="2"/>
      <c r="M23" s="2"/>
      <c r="N23" s="2"/>
      <c r="O23" s="2"/>
      <c r="P23" s="2"/>
    </row>
    <row r="24" spans="1:1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15.75" customHeight="1">
      <c r="A25" s="2"/>
      <c r="H25" s="2"/>
      <c r="I25" s="2"/>
      <c r="J25" s="2"/>
      <c r="K25" s="2"/>
      <c r="L25" s="2"/>
      <c r="M25" s="2"/>
      <c r="N25" s="2"/>
      <c r="O25" s="2"/>
      <c r="P25" s="2"/>
    </row>
    <row r="26" spans="1:12" ht="15.75" customHeight="1">
      <c r="A26" s="3"/>
      <c r="B26" s="3"/>
      <c r="C26" s="3"/>
      <c r="D26" s="3"/>
      <c r="E26" s="3"/>
      <c r="F26" s="3"/>
      <c r="G26" s="3"/>
      <c r="H26" s="3"/>
      <c r="I26" s="5"/>
      <c r="J26" s="5"/>
      <c r="K26" s="5"/>
      <c r="L26" s="5"/>
    </row>
    <row r="27" spans="1:12" ht="15.75" customHeight="1">
      <c r="A27" s="3"/>
      <c r="B27" s="3"/>
      <c r="C27" s="3"/>
      <c r="D27" s="3"/>
      <c r="E27" s="3"/>
      <c r="F27" s="3"/>
      <c r="G27" s="3"/>
      <c r="H27" s="3"/>
      <c r="I27" s="5"/>
      <c r="J27" s="5"/>
      <c r="K27" s="5"/>
      <c r="L27" s="5"/>
    </row>
    <row r="28" spans="1:12" ht="15.75" customHeight="1">
      <c r="A28" s="3"/>
      <c r="B28" s="3"/>
      <c r="C28" s="3"/>
      <c r="D28" s="3"/>
      <c r="E28" s="3"/>
      <c r="F28" s="3"/>
      <c r="G28" s="3"/>
      <c r="H28" s="3"/>
      <c r="I28" s="5"/>
      <c r="J28" s="5"/>
      <c r="K28" s="5"/>
      <c r="L28" s="5"/>
    </row>
    <row r="29" spans="1:12" ht="15.75" customHeight="1">
      <c r="A29" s="3"/>
      <c r="B29" s="3"/>
      <c r="C29" s="3"/>
      <c r="D29" s="3"/>
      <c r="E29" s="3"/>
      <c r="F29" s="3"/>
      <c r="G29" s="3"/>
      <c r="H29" s="3"/>
      <c r="I29" s="5"/>
      <c r="J29" s="5"/>
      <c r="K29" s="5"/>
      <c r="L29" s="5"/>
    </row>
    <row r="30" spans="1:12" ht="15.75" customHeight="1">
      <c r="A30" s="3"/>
      <c r="B30" s="3"/>
      <c r="C30" s="3"/>
      <c r="D30" s="3"/>
      <c r="E30" s="3"/>
      <c r="F30" s="3"/>
      <c r="G30" s="3"/>
      <c r="H30" s="3"/>
      <c r="I30" s="5"/>
      <c r="J30" s="5"/>
      <c r="K30" s="5"/>
      <c r="L30" s="5"/>
    </row>
    <row r="31" spans="1:12" ht="15.75" customHeight="1">
      <c r="A31" s="3"/>
      <c r="B31" s="3"/>
      <c r="C31" s="3"/>
      <c r="D31" s="3"/>
      <c r="E31" s="3"/>
      <c r="F31" s="3"/>
      <c r="G31" s="3"/>
      <c r="H31" s="3"/>
      <c r="I31" s="5"/>
      <c r="J31" s="5"/>
      <c r="K31" s="5"/>
      <c r="L31" s="5"/>
    </row>
    <row r="32" spans="1:12" ht="15.75" customHeight="1">
      <c r="A32" s="3"/>
      <c r="B32" s="3"/>
      <c r="C32" s="3"/>
      <c r="D32" s="3"/>
      <c r="E32" s="3"/>
      <c r="F32" s="3"/>
      <c r="G32" s="3"/>
      <c r="H32" s="3"/>
      <c r="I32" s="5"/>
      <c r="J32" s="5"/>
      <c r="K32" s="5"/>
      <c r="L32" s="5"/>
    </row>
    <row r="33" spans="1:12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</sheetData>
  <mergeCells count="4">
    <mergeCell ref="A1:H1"/>
    <mergeCell ref="A23:F23"/>
    <mergeCell ref="I23:L23"/>
    <mergeCell ref="A25:G25"/>
  </mergeCells>
  <printOptions>
    <extLst>
      <ext uri="smNativeData">
        <pm:pageFlags xmlns:pm="smNativeData" id="1789706791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89706791" l="56" r="56" t="56" b="56" borderId="0" fillId="0" vertical="0"/>
        <pm:footer xmlns:pm="smNativeData" id="1789706791" l="56" r="56" t="56" b="56" borderId="0" fillId="0" vertical="2"/>
      </ext>
    </extLst>
  </headerFooter>
  <extLst>
    <ext uri="smNativeData">
      <pm:sheetPrefs xmlns:pm="smNativeData" day="178970679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Right="0" summaryBelow="0"/>
  </sheetPr>
  <dimension ref="A1:W67"/>
  <sheetViews>
    <sheetView view="normal" workbookViewId="0">
      <pane ySplit="3" topLeftCell="A4" activePane="bottomLeft" state="frozen"/>
      <selection pane="bottomLeft" activeCell="A1" sqref="A1:W1"/>
    </sheetView>
  </sheetViews>
  <sheetFormatPr baseColWidth="11" defaultColWidth="12.630631" defaultRowHeight="15.75" customHeight="1"/>
  <cols>
    <col min="1" max="1" width="12.495495" customWidth="1"/>
    <col min="2" max="2" width="23.378378" customWidth="1"/>
    <col min="3" max="3" width="9.747748" customWidth="1"/>
    <col min="4" max="4" width="9.378378" customWidth="1"/>
    <col min="5" max="5" width="8.252252" customWidth="1"/>
    <col min="6" max="6" width="8.882883" customWidth="1"/>
    <col min="7" max="7" width="6.495495" customWidth="1"/>
    <col min="8" max="8" width="6.126126" customWidth="1"/>
    <col min="9" max="9" width="8.630631" customWidth="1"/>
    <col min="10" max="10" width="7.882883" customWidth="1"/>
    <col min="11" max="11" width="7.630631" customWidth="1"/>
    <col min="12" max="12" width="8.495495" customWidth="1"/>
    <col min="13" max="13" width="7.495495" customWidth="1"/>
    <col min="14" max="14" width="8.378378" customWidth="1"/>
    <col min="15" max="15" width="9.747748" customWidth="1"/>
    <col min="16" max="16" width="5.495495" customWidth="1"/>
    <col min="17" max="17" width="8.630631" customWidth="1"/>
    <col min="18" max="18" width="7.126126" customWidth="1"/>
    <col min="19" max="21" width="3.747748" customWidth="1"/>
    <col min="22" max="22" width="6.882883" customWidth="1"/>
    <col min="23" max="23" width="14.252252" customWidth="1"/>
  </cols>
  <sheetData>
    <row r="1" spans="1:23" ht="65.25" customHeight="1">
      <c r="A1" s="60" t="s">
        <v>37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</row>
    <row r="2" spans="9:16" ht="15.75" customHeight="1">
      <c r="I2" s="6"/>
      <c r="J2" s="6"/>
      <c r="K2" s="6"/>
      <c r="L2" s="6"/>
      <c r="M2" s="6"/>
      <c r="N2" s="6"/>
      <c r="O2" s="6"/>
      <c r="P2" s="7"/>
    </row>
    <row r="3" spans="1:23" ht="15.75" customHeight="1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s="6" t="s">
        <v>46</v>
      </c>
      <c r="J3" s="6" t="s">
        <v>47</v>
      </c>
      <c r="K3" s="6" t="s">
        <v>48</v>
      </c>
      <c r="L3" s="6" t="s">
        <v>49</v>
      </c>
      <c r="M3" s="6" t="s">
        <v>50</v>
      </c>
      <c r="N3" s="6" t="s">
        <v>51</v>
      </c>
      <c r="O3" s="6" t="s">
        <v>52</v>
      </c>
      <c r="P3" s="7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5</v>
      </c>
    </row>
    <row r="4" spans="1:23" ht="15.75" customHeight="1">
      <c r="A4" t="n">
        <v>2021</v>
      </c>
      <c r="B4" t="s">
        <v>60</v>
      </c>
      <c r="C4" t="n">
        <v>10.8900000000000006</v>
      </c>
      <c r="D4" t="n">
        <v>1.48900000000000006</v>
      </c>
      <c r="E4" t="n">
        <v>0.5</v>
      </c>
      <c r="F4" t="n">
        <v>1.10000000000000009</v>
      </c>
      <c r="G4" t="n">
        <v>2.54999999999999982</v>
      </c>
      <c r="H4" t="n">
        <v>0.412000000000000011</v>
      </c>
      <c r="I4" s="8" t="s">
        <v>61</v>
      </c>
      <c r="J4" s="9" t="n">
        <v>5.17300000000000004</v>
      </c>
      <c r="K4" s="9" t="n">
        <v>3.31000000000000005</v>
      </c>
      <c r="L4" s="9" t="n">
        <v>0.191999999999999993</v>
      </c>
      <c r="M4" t="n">
        <v>7768</v>
      </c>
      <c r="N4" t="n">
        <v>9809</v>
      </c>
      <c r="O4">
        <f>N4/M4</f>
        <v>1.26274459320288002</v>
      </c>
      <c r="P4" t="s">
        <v>62</v>
      </c>
      <c r="Q4" t="s">
        <v>63</v>
      </c>
      <c r="R4" t="s">
        <v>64</v>
      </c>
      <c r="S4">
        <f>HEX2DEC(MID(I4,2,2))</f>
        <v>109</v>
      </c>
      <c r="T4">
        <f>HEX2DEC(MID(I4,4,2))</f>
        <v>49</v>
      </c>
      <c r="U4">
        <f>HEX2DEC(MID(I4,6,2))</f>
        <v>32</v>
      </c>
      <c r="V4" s="10">
        <f>1.4*S4-T4</f>
        <v>103.599999999999994</v>
      </c>
      <c r="W4" t="s">
        <v>65</v>
      </c>
    </row>
    <row r="5" spans="1:23" ht="15.75" customHeight="1">
      <c r="A5" t="n">
        <v>2021</v>
      </c>
      <c r="B5" t="s">
        <v>66</v>
      </c>
      <c r="C5" t="n">
        <v>14.2140000000000004</v>
      </c>
      <c r="D5" t="n">
        <v>1.90500000000000007</v>
      </c>
      <c r="E5" t="n">
        <v>0.7</v>
      </c>
      <c r="F5" t="n">
        <v>1.46700000000000008</v>
      </c>
      <c r="G5" t="n">
        <v>4.01900000000000013</v>
      </c>
      <c r="H5" t="n">
        <v>0.779000000000000004</v>
      </c>
      <c r="I5" s="11" t="s">
        <v>67</v>
      </c>
      <c r="J5" s="9" t="n">
        <v>10.3720000000000017</v>
      </c>
      <c r="K5" s="9" t="n">
        <v>5.78599999999999959</v>
      </c>
      <c r="L5" s="9" t="n">
        <v>0.372999999999999998</v>
      </c>
      <c r="M5" t="n">
        <v>8107</v>
      </c>
      <c r="N5" t="n">
        <v>11610</v>
      </c>
      <c r="O5">
        <f>N5/M5</f>
        <v>1.43209571974836987</v>
      </c>
      <c r="P5" t="s">
        <v>62</v>
      </c>
      <c r="Q5" t="s">
        <v>63</v>
      </c>
      <c r="R5" t="s">
        <v>64</v>
      </c>
      <c r="S5">
        <f>HEX2DEC(MID(I5,2,2))</f>
        <v>115</v>
      </c>
      <c r="T5">
        <f>HEX2DEC(MID(I5,4,2))</f>
        <v>35</v>
      </c>
      <c r="U5">
        <f>HEX2DEC(MID(I5,6,2))</f>
        <v>18</v>
      </c>
      <c r="V5" s="10">
        <f>1.4*S5-T5</f>
        <v>126</v>
      </c>
      <c r="W5" t="s">
        <v>68</v>
      </c>
    </row>
    <row r="6" spans="1:22" ht="15.75" customHeight="1">
      <c r="A6" t="n">
        <v>2021</v>
      </c>
      <c r="B6" t="s">
        <v>69</v>
      </c>
      <c r="C6" t="n">
        <v>12.891</v>
      </c>
      <c r="D6" t="n">
        <v>1.22500000000000009</v>
      </c>
      <c r="E6" t="n">
        <v>0.450999999999999979</v>
      </c>
      <c r="F6" t="n">
        <v>1.03899999999999992</v>
      </c>
      <c r="G6" t="n">
        <v>2.32799999999999985</v>
      </c>
      <c r="H6" t="n">
        <v>0.395999999999999996</v>
      </c>
      <c r="I6" s="12" t="s">
        <v>70</v>
      </c>
      <c r="J6" s="9" t="n">
        <v>9.87199999999999989</v>
      </c>
      <c r="K6" s="9" t="n">
        <v>4.72799999999999976</v>
      </c>
      <c r="L6" s="9" t="n">
        <v>0.381000000000000014</v>
      </c>
      <c r="M6" t="n">
        <v>7925</v>
      </c>
      <c r="N6" t="n">
        <v>12782</v>
      </c>
      <c r="O6">
        <f>N6/M6</f>
        <v>1.61287066246056998</v>
      </c>
      <c r="P6" t="s">
        <v>62</v>
      </c>
      <c r="Q6" t="s">
        <v>63</v>
      </c>
      <c r="R6" t="s">
        <v>64</v>
      </c>
      <c r="S6">
        <f>HEX2DEC(MID(I6,2,2))</f>
        <v>126</v>
      </c>
      <c r="T6">
        <f>HEX2DEC(MID(I6,4,2))</f>
        <v>40</v>
      </c>
      <c r="U6">
        <f>HEX2DEC(MID(I6,6,2))</f>
        <v>4</v>
      </c>
      <c r="V6" s="10">
        <f>1.4*S6-T6</f>
        <v>136.400000000000006</v>
      </c>
    </row>
    <row r="7" spans="1:22" ht="15.75" customHeight="1">
      <c r="A7" t="n">
        <v>2021</v>
      </c>
      <c r="B7" t="s">
        <v>71</v>
      </c>
      <c r="C7" t="n">
        <v>13.0909999999999993</v>
      </c>
      <c r="D7" t="n">
        <v>1.30800000000000005</v>
      </c>
      <c r="E7" t="n">
        <v>0.429000000000000004</v>
      </c>
      <c r="F7" t="n">
        <v>0.842999999999999794</v>
      </c>
      <c r="G7" t="n">
        <v>1.83800000000000008</v>
      </c>
      <c r="H7" t="n">
        <v>0.318000000000000016</v>
      </c>
      <c r="I7" s="13" t="s">
        <v>72</v>
      </c>
      <c r="J7" s="9" t="n">
        <v>8.57099999999999795</v>
      </c>
      <c r="K7" s="9" t="n">
        <v>3.75700000000000012</v>
      </c>
      <c r="L7" s="9" t="n">
        <v>0.175999999999999961</v>
      </c>
      <c r="M7" t="n">
        <v>9121</v>
      </c>
      <c r="N7" t="n">
        <v>7799</v>
      </c>
      <c r="O7">
        <f>N7/M7</f>
        <v>0.855059752220151026</v>
      </c>
      <c r="P7" t="s">
        <v>62</v>
      </c>
      <c r="Q7" t="s">
        <v>63</v>
      </c>
      <c r="R7" t="s">
        <v>64</v>
      </c>
      <c r="S7">
        <f>HEX2DEC(MID(I7,2,2))</f>
        <v>96</v>
      </c>
      <c r="T7">
        <f>HEX2DEC(MID(I7,4,2))</f>
        <v>26</v>
      </c>
      <c r="U7">
        <f>HEX2DEC(MID(I7,6,2))</f>
        <v>14</v>
      </c>
      <c r="V7" s="10">
        <f>1.4*S7-T7</f>
        <v>108.400000000000006</v>
      </c>
    </row>
    <row r="8" spans="1:23" ht="15.75" customHeight="1">
      <c r="A8" t="n">
        <v>2021</v>
      </c>
      <c r="B8" t="s">
        <v>73</v>
      </c>
      <c r="C8" t="n">
        <v>14.4909999999999997</v>
      </c>
      <c r="D8" t="n">
        <v>0.913000000000000078</v>
      </c>
      <c r="E8" t="n">
        <v>0.424000000000000021</v>
      </c>
      <c r="F8" t="n">
        <v>0.952999999999999936</v>
      </c>
      <c r="G8" t="n">
        <v>1.19999999999999996</v>
      </c>
      <c r="H8" t="n">
        <v>0.284999999999999964</v>
      </c>
      <c r="I8" s="14" t="s">
        <v>74</v>
      </c>
      <c r="J8" s="9" t="n">
        <v>3.87100000000000009</v>
      </c>
      <c r="K8" s="9" t="n">
        <v>3.17600000000000016</v>
      </c>
      <c r="L8" s="9" t="n">
        <v>0.377000000000000002</v>
      </c>
      <c r="M8" t="n">
        <v>10945</v>
      </c>
      <c r="N8" t="n">
        <v>10863</v>
      </c>
      <c r="O8">
        <f>N8/M8</f>
        <v>0.992507994518044967</v>
      </c>
      <c r="P8" t="s">
        <v>62</v>
      </c>
      <c r="Q8" t="s">
        <v>63</v>
      </c>
      <c r="R8" t="s">
        <v>64</v>
      </c>
      <c r="S8">
        <f>HEX2DEC(MID(I8,2,2))</f>
        <v>224</v>
      </c>
      <c r="T8">
        <f>HEX2DEC(MID(I8,4,2))</f>
        <v>178</v>
      </c>
      <c r="U8">
        <f>HEX2DEC(MID(I8,6,2))</f>
        <v>130</v>
      </c>
      <c r="V8" s="10">
        <f>1.4*S8-T8</f>
        <v>135.599999999999994</v>
      </c>
      <c r="W8" t="s">
        <v>75</v>
      </c>
    </row>
    <row r="9" spans="1:23" ht="15.75" customHeight="1">
      <c r="A9" t="n">
        <v>2021</v>
      </c>
      <c r="B9" t="s">
        <v>76</v>
      </c>
      <c r="C9" t="n">
        <v>12.4079999999999995</v>
      </c>
      <c r="D9" t="n">
        <v>0.915000000000000036</v>
      </c>
      <c r="E9" t="n">
        <v>0.387999999999999989</v>
      </c>
      <c r="F9" t="n">
        <v>0.779000000000000004</v>
      </c>
      <c r="G9" t="n">
        <v>1.14799999999999991</v>
      </c>
      <c r="H9" t="n">
        <v>0.273000000000000043</v>
      </c>
      <c r="I9" s="15" t="s">
        <v>77</v>
      </c>
      <c r="J9" s="9" t="n">
        <v>3.43000000000000016</v>
      </c>
      <c r="K9" s="9" t="n">
        <v>3.59799999999999986</v>
      </c>
      <c r="L9" s="9" t="n">
        <v>0.249000000000000021</v>
      </c>
      <c r="M9" t="n">
        <v>10009</v>
      </c>
      <c r="N9" t="n">
        <v>11181</v>
      </c>
      <c r="O9">
        <f>N9/M9</f>
        <v>1.11709461484664008</v>
      </c>
      <c r="P9" t="s">
        <v>62</v>
      </c>
      <c r="Q9" t="s">
        <v>63</v>
      </c>
      <c r="R9" t="s">
        <v>64</v>
      </c>
      <c r="S9">
        <f>HEX2DEC(MID(I9,2,2))</f>
        <v>82</v>
      </c>
      <c r="T9">
        <f>HEX2DEC(MID(I9,4,2))</f>
        <v>33</v>
      </c>
      <c r="U9">
        <f>HEX2DEC(MID(I9,6,2))</f>
        <v>10</v>
      </c>
      <c r="V9" s="10">
        <f>1.4*S9-T9</f>
        <v>81.7999999999999972</v>
      </c>
      <c r="W9" t="s">
        <v>75</v>
      </c>
    </row>
    <row r="10" spans="1:22" ht="15.75" customHeight="1">
      <c r="A10" t="n">
        <v>2021</v>
      </c>
      <c r="B10" t="s">
        <v>78</v>
      </c>
      <c r="C10" t="n">
        <v>10.9979999999999993</v>
      </c>
      <c r="D10" t="n">
        <v>0.967000000000000171</v>
      </c>
      <c r="E10" t="n">
        <v>0.429000000000000004</v>
      </c>
      <c r="F10" t="n">
        <v>0.925</v>
      </c>
      <c r="G10" t="n">
        <v>1.20100000000000007</v>
      </c>
      <c r="H10" t="n">
        <v>0.364999999999999991</v>
      </c>
      <c r="I10" s="16" t="s">
        <v>79</v>
      </c>
      <c r="J10" s="9" t="n">
        <v>7.42999999999999883</v>
      </c>
      <c r="K10" s="9" t="n">
        <v>2.80500000000000007</v>
      </c>
      <c r="L10" s="9" t="n">
        <v>0.206999999999999984</v>
      </c>
      <c r="M10" t="n">
        <v>9716</v>
      </c>
      <c r="N10" t="n">
        <v>7088</v>
      </c>
      <c r="O10">
        <f>N10/M10</f>
        <v>0.729518320296418032</v>
      </c>
      <c r="P10" t="s">
        <v>62</v>
      </c>
      <c r="Q10" t="s">
        <v>63</v>
      </c>
      <c r="R10" t="s">
        <v>64</v>
      </c>
      <c r="S10">
        <f>HEX2DEC(MID(I10,2,2))</f>
        <v>139</v>
      </c>
      <c r="T10">
        <f>HEX2DEC(MID(I10,4,2))</f>
        <v>64</v>
      </c>
      <c r="U10">
        <f>HEX2DEC(MID(I10,6,2))</f>
        <v>30</v>
      </c>
      <c r="V10" s="10">
        <f>1.4*S10-T10</f>
        <v>130.599999999999994</v>
      </c>
    </row>
    <row r="11" spans="1:22" ht="15.75" customHeight="1">
      <c r="A11" t="n">
        <v>2021</v>
      </c>
      <c r="B11" t="s">
        <v>80</v>
      </c>
      <c r="C11" t="n">
        <v>10.1839999999999993</v>
      </c>
      <c r="D11" t="n">
        <v>0.714999999999999947</v>
      </c>
      <c r="E11" t="n">
        <v>0.387000000000000011</v>
      </c>
      <c r="F11" t="n">
        <v>0.85</v>
      </c>
      <c r="G11" t="n">
        <v>0.890000000000000036</v>
      </c>
      <c r="H11" t="n">
        <v>0.239999999999999991</v>
      </c>
      <c r="I11" s="17" t="s">
        <v>81</v>
      </c>
      <c r="J11" s="9" t="n">
        <v>5.39599999999999991</v>
      </c>
      <c r="K11" s="9" t="n">
        <v>3.90700000000000003</v>
      </c>
      <c r="L11" s="9" t="n">
        <v>0.17399999999999995</v>
      </c>
      <c r="M11" t="n">
        <v>9709</v>
      </c>
      <c r="N11" t="n">
        <v>16027</v>
      </c>
      <c r="O11">
        <f>N11/M11</f>
        <v>1.65073643011639</v>
      </c>
      <c r="P11" t="s">
        <v>62</v>
      </c>
      <c r="Q11" t="s">
        <v>63</v>
      </c>
      <c r="R11" t="s">
        <v>64</v>
      </c>
      <c r="S11">
        <f>HEX2DEC(MID(I11,2,2))</f>
        <v>54</v>
      </c>
      <c r="T11">
        <f>HEX2DEC(MID(I11,4,2))</f>
        <v>21</v>
      </c>
      <c r="U11">
        <f>HEX2DEC(MID(I11,6,2))</f>
        <v>20</v>
      </c>
      <c r="V11" s="10">
        <f>1.4*S11-T11</f>
        <v>54.6000000000000014</v>
      </c>
    </row>
    <row r="12" spans="1:22" ht="15.75" customHeight="1">
      <c r="A12" t="n">
        <v>2021</v>
      </c>
      <c r="B12" t="s">
        <v>82</v>
      </c>
      <c r="C12" t="n">
        <v>14.1829999999999998</v>
      </c>
      <c r="D12" t="n">
        <v>0.957000000000000028</v>
      </c>
      <c r="E12" t="n">
        <v>0.291999999999999993</v>
      </c>
      <c r="F12" t="n">
        <v>0.754000000000000004</v>
      </c>
      <c r="G12" t="n">
        <v>1.28699999999999992</v>
      </c>
      <c r="H12" t="n">
        <v>0.253000000000000025</v>
      </c>
      <c r="I12" s="18" t="s">
        <v>83</v>
      </c>
      <c r="J12" s="9" t="n">
        <v>6.80700000000000038</v>
      </c>
      <c r="K12" s="9" t="n">
        <v>3.67899999999999983</v>
      </c>
      <c r="L12" s="9" t="n">
        <v>0.112000000000000011</v>
      </c>
      <c r="M12" t="n">
        <v>10094</v>
      </c>
      <c r="N12" t="n">
        <v>11449</v>
      </c>
      <c r="O12">
        <f>N12/M12</f>
        <v>1.13423816128393007</v>
      </c>
      <c r="P12" t="s">
        <v>62</v>
      </c>
      <c r="Q12" t="s">
        <v>63</v>
      </c>
      <c r="R12" t="s">
        <v>64</v>
      </c>
      <c r="S12">
        <f>HEX2DEC(MID(I12,2,2))</f>
        <v>157</v>
      </c>
      <c r="T12">
        <f>HEX2DEC(MID(I12,4,2))</f>
        <v>95</v>
      </c>
      <c r="U12">
        <f>HEX2DEC(MID(I12,6,2))</f>
        <v>47</v>
      </c>
      <c r="V12" s="10">
        <f>1.4*S12-T12</f>
        <v>124.799999999999997</v>
      </c>
    </row>
    <row r="13" spans="1:23" ht="15.75" customHeight="1">
      <c r="A13" t="n">
        <v>2021</v>
      </c>
      <c r="B13" t="s">
        <v>84</v>
      </c>
      <c r="C13" t="n">
        <v>16.5620000000000012</v>
      </c>
      <c r="D13" t="n">
        <v>1.41100000000000003</v>
      </c>
      <c r="E13" t="n">
        <v>0.436000000000000032</v>
      </c>
      <c r="F13" t="n">
        <v>0.922000000000000064</v>
      </c>
      <c r="G13" t="n">
        <v>1.9870000000000001</v>
      </c>
      <c r="H13" t="n">
        <v>0.339000000000000012</v>
      </c>
      <c r="I13" s="19" t="s">
        <v>85</v>
      </c>
      <c r="J13" s="9" t="s">
        <v>86</v>
      </c>
      <c r="K13" s="9" t="n">
        <v>4.36300000000000043</v>
      </c>
      <c r="L13" s="9" t="n">
        <v>0.269000000000000039</v>
      </c>
      <c r="M13" t="n">
        <v>8986</v>
      </c>
      <c r="N13" t="n">
        <v>6667</v>
      </c>
      <c r="O13">
        <f>N13/M13</f>
        <v>0.741931894057422969</v>
      </c>
      <c r="P13" t="s">
        <v>62</v>
      </c>
      <c r="Q13" t="s">
        <v>63</v>
      </c>
      <c r="R13" t="s">
        <v>64</v>
      </c>
      <c r="S13">
        <f>HEX2DEC(MID(I13,2,2))</f>
        <v>110</v>
      </c>
      <c r="T13">
        <f>HEX2DEC(MID(I13,4,2))</f>
        <v>36</v>
      </c>
      <c r="U13">
        <f>HEX2DEC(MID(I13,6,2))</f>
        <v>13</v>
      </c>
      <c r="V13" s="10">
        <f>1.4*S13-T13</f>
        <v>118</v>
      </c>
      <c r="W13" t="s">
        <v>87</v>
      </c>
    </row>
    <row r="14" spans="1:23" ht="15.75" customHeight="1">
      <c r="A14" t="n">
        <v>2021</v>
      </c>
      <c r="B14" t="s">
        <v>88</v>
      </c>
      <c r="C14" t="n">
        <v>10.9350000000000005</v>
      </c>
      <c r="D14" t="n">
        <v>0.797000000000000064</v>
      </c>
      <c r="E14" t="n">
        <v>0.282999999999999972</v>
      </c>
      <c r="F14" t="n">
        <v>0.657000000000000028</v>
      </c>
      <c r="G14" t="n">
        <v>0.669000000000000039</v>
      </c>
      <c r="H14" t="n">
        <v>0.139000000000000012</v>
      </c>
      <c r="I14" s="20" t="s">
        <v>89</v>
      </c>
      <c r="J14" s="9" t="n">
        <v>5.64700000000000024</v>
      </c>
      <c r="K14" s="9" t="n">
        <v>2.33099999999999996</v>
      </c>
      <c r="L14" s="9" t="n">
        <v>0.231000000000000005</v>
      </c>
      <c r="M14" t="n">
        <v>7624</v>
      </c>
      <c r="N14" t="n">
        <v>12017</v>
      </c>
      <c r="O14">
        <f>N14/M14</f>
        <v>1.57620671563484009</v>
      </c>
      <c r="P14" t="s">
        <v>62</v>
      </c>
      <c r="Q14" t="s">
        <v>63</v>
      </c>
      <c r="R14" t="s">
        <v>64</v>
      </c>
      <c r="S14">
        <f>HEX2DEC(MID(I14,2,2))</f>
        <v>131</v>
      </c>
      <c r="T14">
        <f>HEX2DEC(MID(I14,4,2))</f>
        <v>62</v>
      </c>
      <c r="U14">
        <f>HEX2DEC(MID(I14,6,2))</f>
        <v>5</v>
      </c>
      <c r="V14" s="10">
        <f>1.4*S14-T14</f>
        <v>121.400000000000006</v>
      </c>
      <c r="W14" t="s">
        <v>90</v>
      </c>
    </row>
    <row r="15" spans="1:23" ht="15.75" customHeight="1">
      <c r="A15" t="n">
        <v>2021</v>
      </c>
      <c r="B15" t="s">
        <v>91</v>
      </c>
      <c r="C15" t="n">
        <v>9.7289999999999992</v>
      </c>
      <c r="D15" t="n">
        <v>1.06699999999999995</v>
      </c>
      <c r="E15" t="n">
        <v>0.358000000000000007</v>
      </c>
      <c r="F15" t="n">
        <v>0.685000000000000142</v>
      </c>
      <c r="G15" t="n">
        <v>1.20900000000000007</v>
      </c>
      <c r="H15" t="n">
        <v>0.235999999999999988</v>
      </c>
      <c r="I15" s="21" t="s">
        <v>92</v>
      </c>
      <c r="J15" s="9" t="s">
        <v>86</v>
      </c>
      <c r="K15" s="9"/>
      <c r="L15" s="9" t="s">
        <v>86</v>
      </c>
      <c r="M15" t="n">
        <v>9209</v>
      </c>
      <c r="N15" t="n">
        <v>12273</v>
      </c>
      <c r="O15">
        <f>N15/M15</f>
        <v>1.33271799326745999</v>
      </c>
      <c r="P15" t="s">
        <v>62</v>
      </c>
      <c r="Q15" t="s">
        <v>63</v>
      </c>
      <c r="R15" t="s">
        <v>64</v>
      </c>
      <c r="S15">
        <f>HEX2DEC(MID(I15,2,2))</f>
        <v>113</v>
      </c>
      <c r="T15">
        <f>HEX2DEC(MID(I15,4,2))</f>
        <v>45</v>
      </c>
      <c r="U15">
        <f>HEX2DEC(MID(I15,6,2))</f>
        <v>10</v>
      </c>
      <c r="V15" s="10">
        <f>1.4*S15-T15</f>
        <v>113.200000000000003</v>
      </c>
      <c r="W15" t="s">
        <v>93</v>
      </c>
    </row>
    <row r="16" spans="1:22" ht="15.75" customHeight="1">
      <c r="A16" t="n">
        <v>2021</v>
      </c>
      <c r="B16" t="s">
        <v>94</v>
      </c>
      <c r="C16" t="n">
        <v>14.4819999999999993</v>
      </c>
      <c r="D16" t="n">
        <v>1.25099999999999989</v>
      </c>
      <c r="E16" t="n">
        <v>0.570999999999999908</v>
      </c>
      <c r="F16" t="n">
        <v>0.914000000000000057</v>
      </c>
      <c r="G16" t="n">
        <v>1.8</v>
      </c>
      <c r="H16" t="n">
        <v>0.322999999999999998</v>
      </c>
      <c r="I16" s="22" t="s">
        <v>95</v>
      </c>
      <c r="J16" s="9" t="n">
        <v>5.91500000000000004</v>
      </c>
      <c r="K16" s="9" t="n">
        <v>4.2759999999999998</v>
      </c>
      <c r="L16" s="9" t="n">
        <v>0.296999999999999975</v>
      </c>
      <c r="M16" t="n">
        <v>8806</v>
      </c>
      <c r="N16" t="n">
        <v>11642</v>
      </c>
      <c r="O16">
        <f>N16/M16</f>
        <v>1.32205314558255993</v>
      </c>
      <c r="P16" t="s">
        <v>62</v>
      </c>
      <c r="Q16" t="s">
        <v>63</v>
      </c>
      <c r="R16" t="s">
        <v>64</v>
      </c>
      <c r="S16">
        <f>HEX2DEC(MID(I16,2,2))</f>
        <v>147</v>
      </c>
      <c r="T16">
        <f>HEX2DEC(MID(I16,4,2))</f>
        <v>65</v>
      </c>
      <c r="U16">
        <f>HEX2DEC(MID(I16,6,2))</f>
        <v>22</v>
      </c>
      <c r="V16" s="10">
        <f>1.4*S16-T16</f>
        <v>140.800000000000011</v>
      </c>
    </row>
    <row r="17" spans="1:22" ht="15.75" customHeight="1">
      <c r="A17" t="n">
        <v>2021</v>
      </c>
      <c r="B17" t="s">
        <v>96</v>
      </c>
      <c r="C17" t="n">
        <v>12.1199999999999992</v>
      </c>
      <c r="D17" t="n">
        <v>1.14999999999999991</v>
      </c>
      <c r="E17" t="n">
        <v>0.364999999999999991</v>
      </c>
      <c r="F17" t="n">
        <v>0.761000000000000032</v>
      </c>
      <c r="G17" t="n">
        <v>1.254</v>
      </c>
      <c r="H17" t="n">
        <v>0.241999999999999993</v>
      </c>
      <c r="I17" s="23" t="s">
        <v>97</v>
      </c>
      <c r="J17" s="9" t="n">
        <v>6.62399999999999967</v>
      </c>
      <c r="K17" s="9" t="n">
        <v>3.90200000000000014</v>
      </c>
      <c r="L17" s="9" t="n">
        <v>0.252000000000000002</v>
      </c>
      <c r="M17" t="n">
        <v>7670</v>
      </c>
      <c r="N17" t="n">
        <v>12001</v>
      </c>
      <c r="O17">
        <f>N17/M17</f>
        <v>1.56466753585398006</v>
      </c>
      <c r="P17" t="s">
        <v>62</v>
      </c>
      <c r="Q17" t="s">
        <v>63</v>
      </c>
      <c r="R17" t="s">
        <v>64</v>
      </c>
      <c r="S17">
        <f>HEX2DEC(MID(I17,2,2))</f>
        <v>149</v>
      </c>
      <c r="T17">
        <f>HEX2DEC(MID(I17,4,2))</f>
        <v>59</v>
      </c>
      <c r="U17">
        <f>HEX2DEC(MID(I17,6,2))</f>
        <v>12</v>
      </c>
      <c r="V17" s="10">
        <f>1.4*S17-T17</f>
        <v>149.599999999999994</v>
      </c>
    </row>
    <row r="18" spans="1:22" ht="15.75" customHeight="1">
      <c r="A18" t="n">
        <v>2021</v>
      </c>
      <c r="B18" t="s">
        <v>98</v>
      </c>
      <c r="C18" t="n">
        <v>9.09999999999999964</v>
      </c>
      <c r="D18" t="n">
        <v>0.639000000000000146</v>
      </c>
      <c r="E18" t="n">
        <v>0.230000000000000027</v>
      </c>
      <c r="F18" t="n">
        <v>0.523000000000000043</v>
      </c>
      <c r="G18" t="n">
        <v>0.571999999999999975</v>
      </c>
      <c r="H18" t="n">
        <v>0.0929999999999999893</v>
      </c>
      <c r="I18" s="24" t="s">
        <v>99</v>
      </c>
      <c r="J18" s="9">
        <f>AVERAGE(4.534,4.377)</f>
        <v>4.45549999999999979</v>
      </c>
      <c r="K18" s="9" t="n">
        <v>2.45800000000000018</v>
      </c>
      <c r="L18" s="9" t="n">
        <v>0.102000000000000002</v>
      </c>
      <c r="M18" t="n">
        <v>9499</v>
      </c>
      <c r="N18" t="n">
        <v>9487</v>
      </c>
      <c r="O18">
        <f>N18/M18</f>
        <v>0.998736709127276967</v>
      </c>
      <c r="P18" t="s">
        <v>62</v>
      </c>
      <c r="Q18" t="s">
        <v>63</v>
      </c>
      <c r="R18" t="s">
        <v>64</v>
      </c>
      <c r="S18">
        <f>HEX2DEC(MID(I18,2,2))</f>
        <v>155</v>
      </c>
      <c r="T18">
        <f>HEX2DEC(MID(I18,4,2))</f>
        <v>80</v>
      </c>
      <c r="U18">
        <f>HEX2DEC(MID(I18,6,2))</f>
        <v>31</v>
      </c>
      <c r="V18" s="10">
        <f>1.4*S18-T18</f>
        <v>137</v>
      </c>
    </row>
    <row r="19" spans="1:22" ht="15.75" customHeight="1">
      <c r="A19" t="n">
        <v>2021</v>
      </c>
      <c r="B19" t="s">
        <v>100</v>
      </c>
      <c r="C19" t="n">
        <v>12.3000000000000007</v>
      </c>
      <c r="D19" t="n">
        <v>0.877999999999999936</v>
      </c>
      <c r="E19" t="n">
        <v>0.331000000000000005</v>
      </c>
      <c r="F19" t="n">
        <v>0.721999999999999886</v>
      </c>
      <c r="G19" t="n">
        <v>0.923000000000000043</v>
      </c>
      <c r="H19" t="n">
        <v>0.199000000000000021</v>
      </c>
      <c r="I19" s="25" t="s">
        <v>101</v>
      </c>
      <c r="J19" s="9">
        <f>AVERAGE(5.227,5.979)</f>
        <v>5.60299999999999976</v>
      </c>
      <c r="K19" s="9">
        <f>AVERAGE(3.237,2.712)</f>
        <v>2.97449999999999992</v>
      </c>
      <c r="L19" s="9" t="s">
        <v>86</v>
      </c>
      <c r="M19" t="n">
        <v>8657</v>
      </c>
      <c r="N19" t="n">
        <v>10415</v>
      </c>
      <c r="O19">
        <f>N19/M19</f>
        <v>1.20307265796465002</v>
      </c>
      <c r="P19" t="s">
        <v>62</v>
      </c>
      <c r="Q19" t="s">
        <v>63</v>
      </c>
      <c r="R19" t="s">
        <v>64</v>
      </c>
      <c r="S19">
        <f>HEX2DEC(MID(I19,2,2))</f>
        <v>109</v>
      </c>
      <c r="T19">
        <f>HEX2DEC(MID(I19,4,2))</f>
        <v>27</v>
      </c>
      <c r="U19">
        <f>HEX2DEC(MID(I19,6,2))</f>
        <v>9</v>
      </c>
      <c r="V19" s="10">
        <f>1.4*S19-T19</f>
        <v>125.599999999999994</v>
      </c>
    </row>
    <row r="20" spans="1:22" ht="15.75" customHeight="1">
      <c r="A20" t="n">
        <v>2021</v>
      </c>
      <c r="B20" t="s">
        <v>102</v>
      </c>
      <c r="C20" t="n">
        <v>11.3360000000000003</v>
      </c>
      <c r="D20" t="n">
        <v>0.997000000000000064</v>
      </c>
      <c r="E20" t="n">
        <v>0.304999999999999982</v>
      </c>
      <c r="F20" t="n">
        <v>0.695999999999999819</v>
      </c>
      <c r="G20" t="n">
        <v>1.12999999999999989</v>
      </c>
      <c r="H20" t="n">
        <v>0.197000000000000028</v>
      </c>
      <c r="I20" s="26" t="s">
        <v>103</v>
      </c>
      <c r="J20" s="9" t="n">
        <v>5.62800000000000011</v>
      </c>
      <c r="K20" s="9" t="n">
        <v>3.41999999999999993</v>
      </c>
      <c r="L20" s="9" t="n">
        <v>0.3</v>
      </c>
      <c r="M20" t="n">
        <v>9212</v>
      </c>
      <c r="N20" t="n">
        <v>8641</v>
      </c>
      <c r="O20">
        <f>N20/M20</f>
        <v>0.938015631784628923</v>
      </c>
      <c r="P20" t="s">
        <v>62</v>
      </c>
      <c r="Q20" t="s">
        <v>63</v>
      </c>
      <c r="R20" t="s">
        <v>64</v>
      </c>
      <c r="S20">
        <f>HEX2DEC(MID(I20,2,2))</f>
        <v>114</v>
      </c>
      <c r="T20">
        <f>HEX2DEC(MID(I20,4,2))</f>
        <v>39</v>
      </c>
      <c r="U20">
        <f>HEX2DEC(MID(I20,6,2))</f>
        <v>14</v>
      </c>
      <c r="V20" s="10">
        <f>1.4*S20-T20</f>
        <v>120.599999999999994</v>
      </c>
    </row>
    <row r="21" spans="1:22" ht="15.75" customHeight="1">
      <c r="A21" t="n">
        <v>2021</v>
      </c>
      <c r="B21" t="s">
        <v>104</v>
      </c>
      <c r="C21" t="n">
        <v>12.1530000000000005</v>
      </c>
      <c r="D21" t="n">
        <v>0.908000000000000007</v>
      </c>
      <c r="E21" t="n">
        <v>0.258000000000000007</v>
      </c>
      <c r="F21" t="n">
        <v>0.835999999999999943</v>
      </c>
      <c r="G21" t="n">
        <v>1.17399999999999993</v>
      </c>
      <c r="H21" t="n">
        <v>0.206999999999999984</v>
      </c>
      <c r="I21" s="27" t="s">
        <v>105</v>
      </c>
      <c r="J21" s="9" t="n">
        <v>6.31299999999999972</v>
      </c>
      <c r="K21" s="9" t="n">
        <v>3.60499999999999998</v>
      </c>
      <c r="L21" s="9" t="n">
        <v>0.341000000000000014</v>
      </c>
      <c r="M21" t="n">
        <v>8304</v>
      </c>
      <c r="N21" t="n">
        <v>11983</v>
      </c>
      <c r="O21">
        <f>N21/M21</f>
        <v>1.44303949903661</v>
      </c>
      <c r="P21" t="s">
        <v>62</v>
      </c>
      <c r="Q21" t="s">
        <v>63</v>
      </c>
      <c r="R21" t="s">
        <v>64</v>
      </c>
      <c r="S21">
        <f>HEX2DEC(MID(I21,2,2))</f>
        <v>71</v>
      </c>
      <c r="T21">
        <f>HEX2DEC(MID(I21,4,2))</f>
        <v>17</v>
      </c>
      <c r="U21">
        <f>HEX2DEC(MID(I21,6,2))</f>
        <v>3</v>
      </c>
      <c r="V21" s="10">
        <f>1.4*S21-T21</f>
        <v>82.4000000000000057</v>
      </c>
    </row>
    <row r="22" spans="1:22" ht="15.75" customHeight="1">
      <c r="A22" t="n">
        <v>2021</v>
      </c>
      <c r="B22" t="s">
        <v>106</v>
      </c>
      <c r="C22" t="n">
        <v>12.7569999999999997</v>
      </c>
      <c r="D22" t="n">
        <v>1.27800000000000002</v>
      </c>
      <c r="E22" t="n">
        <v>0.599000000000000021</v>
      </c>
      <c r="F22" t="n">
        <v>1.06899999999999995</v>
      </c>
      <c r="G22" t="n">
        <v>2.06000000000000005</v>
      </c>
      <c r="H22" t="n">
        <v>0.409499999999999975</v>
      </c>
      <c r="I22" s="28" t="s">
        <v>107</v>
      </c>
      <c r="J22" s="9" t="n">
        <v>7.97700000000000031</v>
      </c>
      <c r="K22" s="9" t="n">
        <v>3.78299999999999992</v>
      </c>
      <c r="L22" s="9" t="n">
        <v>0.377000000000000002</v>
      </c>
      <c r="M22" t="n">
        <v>8722</v>
      </c>
      <c r="N22" t="n">
        <v>11058</v>
      </c>
      <c r="O22">
        <f>N22/M22</f>
        <v>1.26782847970649004</v>
      </c>
      <c r="P22" t="s">
        <v>62</v>
      </c>
      <c r="Q22" t="s">
        <v>63</v>
      </c>
      <c r="R22" t="s">
        <v>64</v>
      </c>
      <c r="S22">
        <f>HEX2DEC(MID(I22,2,2))</f>
        <v>83</v>
      </c>
      <c r="T22">
        <f>HEX2DEC(MID(I22,4,2))</f>
        <v>26</v>
      </c>
      <c r="U22">
        <f>HEX2DEC(MID(I22,6,2))</f>
        <v>8</v>
      </c>
      <c r="V22" s="10">
        <f>1.4*S22-T22</f>
        <v>90.2000000000000028</v>
      </c>
    </row>
    <row r="23" spans="1:23" ht="15.75" customHeight="1">
      <c r="A23" t="n">
        <v>2023</v>
      </c>
      <c r="B23" t="s">
        <v>108</v>
      </c>
      <c r="C23" t="n">
        <v>15.282</v>
      </c>
      <c r="D23" t="n">
        <v>1.61699999999999999</v>
      </c>
      <c r="E23" t="n">
        <v>0.59499999999999984</v>
      </c>
      <c r="F23" t="n">
        <v>0.798000000000000043</v>
      </c>
      <c r="G23" t="n">
        <v>2.60599999999999987</v>
      </c>
      <c r="H23" t="n">
        <v>0.45</v>
      </c>
      <c r="I23" s="29" t="s">
        <v>109</v>
      </c>
      <c r="J23" s="9" t="s">
        <v>86</v>
      </c>
      <c r="K23" s="9" t="s">
        <v>86</v>
      </c>
      <c r="L23" s="9" t="s">
        <v>86</v>
      </c>
      <c r="M23" t="n">
        <v>10984</v>
      </c>
      <c r="N23" t="n">
        <v>13544</v>
      </c>
      <c r="O23">
        <f>N23/M23</f>
        <v>1.23306627822287007</v>
      </c>
      <c r="P23" t="s">
        <v>62</v>
      </c>
      <c r="Q23" t="s">
        <v>63</v>
      </c>
      <c r="R23" t="s">
        <v>110</v>
      </c>
      <c r="S23">
        <f>HEX2DEC(MID(I23,2,2))</f>
        <v>227</v>
      </c>
      <c r="T23">
        <f>HEX2DEC(MID(I23,4,2))</f>
        <v>148</v>
      </c>
      <c r="U23">
        <f>HEX2DEC(MID(I23,6,2))</f>
        <v>114</v>
      </c>
      <c r="V23" s="10">
        <f>1.4*S23-T23</f>
        <v>169.800000000000011</v>
      </c>
      <c r="W23" t="s">
        <v>93</v>
      </c>
    </row>
    <row r="24" spans="1:22" ht="15.75" customHeight="1">
      <c r="A24" t="n">
        <v>2023</v>
      </c>
      <c r="B24" t="s">
        <v>111</v>
      </c>
      <c r="C24" t="n">
        <v>13.3409999999999993</v>
      </c>
      <c r="D24" t="n">
        <v>1.28800000000000004</v>
      </c>
      <c r="E24" t="n">
        <v>0.445000000000000018</v>
      </c>
      <c r="F24" t="n">
        <v>0.644000000000000039</v>
      </c>
      <c r="G24" t="n">
        <v>1.82300000000000004</v>
      </c>
      <c r="H24" t="n">
        <v>0.260000000000000009</v>
      </c>
      <c r="I24" s="30" t="s">
        <v>112</v>
      </c>
      <c r="J24" s="9" t="n">
        <v>4.25100000000000033</v>
      </c>
      <c r="K24" s="9" t="n">
        <v>3.57500000000000018</v>
      </c>
      <c r="L24" s="9" t="n">
        <v>0.195000000000000018</v>
      </c>
      <c r="M24" t="n">
        <v>13068</v>
      </c>
      <c r="N24" t="n">
        <v>18964</v>
      </c>
      <c r="O24">
        <f>N24/M24</f>
        <v>1.45117845117844997</v>
      </c>
      <c r="P24" t="s">
        <v>62</v>
      </c>
      <c r="Q24" t="s">
        <v>63</v>
      </c>
      <c r="R24" t="s">
        <v>110</v>
      </c>
      <c r="S24">
        <f>HEX2DEC(MID(I24,2,2))</f>
        <v>215</v>
      </c>
      <c r="T24">
        <f>HEX2DEC(MID(I24,4,2))</f>
        <v>134</v>
      </c>
      <c r="U24">
        <f>HEX2DEC(MID(I24,6,2))</f>
        <v>77</v>
      </c>
      <c r="V24" s="10">
        <f>1.4*S24-T24</f>
        <v>167</v>
      </c>
    </row>
    <row r="25" spans="1:22" ht="15.75" customHeight="1">
      <c r="A25" t="n">
        <v>2023</v>
      </c>
      <c r="B25" t="s">
        <v>113</v>
      </c>
      <c r="C25" t="n">
        <v>10.2100000000000009</v>
      </c>
      <c r="D25" t="n">
        <v>1.09699999999999998</v>
      </c>
      <c r="E25" t="n">
        <v>0.5</v>
      </c>
      <c r="F25" t="n">
        <v>1.02200000000000002</v>
      </c>
      <c r="G25" t="n">
        <v>1.425</v>
      </c>
      <c r="H25" t="n">
        <v>0.316000000000000014</v>
      </c>
      <c r="I25" s="31" t="s">
        <v>114</v>
      </c>
      <c r="J25" s="9" t="n">
        <v>5.09999999999999964</v>
      </c>
      <c r="K25" s="9" t="n">
        <v>2.16000000000000014</v>
      </c>
      <c r="L25" s="9" t="n">
        <v>0.160000000000000009</v>
      </c>
      <c r="M25" t="n">
        <v>4858</v>
      </c>
      <c r="N25" t="n">
        <v>12118</v>
      </c>
      <c r="O25">
        <f>N25/M25</f>
        <v>2.49444215726636997</v>
      </c>
      <c r="P25" t="s">
        <v>115</v>
      </c>
      <c r="Q25" t="s">
        <v>63</v>
      </c>
      <c r="R25" t="s">
        <v>110</v>
      </c>
      <c r="S25">
        <f>HEX2DEC(MID(I25,2,2))</f>
        <v>41</v>
      </c>
      <c r="T25">
        <f>HEX2DEC(MID(I25,4,2))</f>
        <v>24</v>
      </c>
      <c r="U25">
        <f>HEX2DEC(MID(I25,6,2))</f>
        <v>20</v>
      </c>
      <c r="V25" s="10">
        <f>1.4*S25-T25</f>
        <v>33.3999999999999986</v>
      </c>
    </row>
    <row r="26" spans="1:22" ht="15.75" customHeight="1">
      <c r="A26" t="n">
        <v>2023</v>
      </c>
      <c r="B26" t="s">
        <v>116</v>
      </c>
      <c r="C26" t="n">
        <v>13.6760000000000002</v>
      </c>
      <c r="D26" t="n">
        <v>1.30699999999999994</v>
      </c>
      <c r="E26" t="n">
        <v>0.445999999999999996</v>
      </c>
      <c r="F26" t="n">
        <v>0.629999999999999982</v>
      </c>
      <c r="G26" t="n">
        <v>1.61299999999999999</v>
      </c>
      <c r="H26" t="n">
        <v>0.228000000000000025</v>
      </c>
      <c r="I26" s="32" t="s">
        <v>117</v>
      </c>
      <c r="J26" s="9" t="n">
        <v>7.5730000000000004</v>
      </c>
      <c r="K26" s="9" t="n">
        <v>3.78699999999999992</v>
      </c>
      <c r="L26" s="9" t="n">
        <v>0.241999999999999993</v>
      </c>
      <c r="M26" t="n">
        <v>9567</v>
      </c>
      <c r="N26" t="n">
        <v>9454</v>
      </c>
      <c r="O26">
        <f>N26/M26</f>
        <v>0.98818856485836708</v>
      </c>
      <c r="P26" t="s">
        <v>62</v>
      </c>
      <c r="Q26" t="s">
        <v>63</v>
      </c>
      <c r="R26" t="s">
        <v>110</v>
      </c>
      <c r="S26">
        <f>HEX2DEC(MID(I26,2,2))</f>
        <v>192</v>
      </c>
      <c r="T26">
        <f>HEX2DEC(MID(I26,4,2))</f>
        <v>129</v>
      </c>
      <c r="U26">
        <f>HEX2DEC(MID(I26,6,2))</f>
        <v>100</v>
      </c>
      <c r="V26" s="10">
        <f>1.4*S26-T26</f>
        <v>139.800000000000011</v>
      </c>
    </row>
    <row r="27" spans="1:22" ht="15.75" customHeight="1">
      <c r="A27" t="n">
        <v>2023</v>
      </c>
      <c r="B27" t="s">
        <v>118</v>
      </c>
      <c r="C27" t="n">
        <v>12.3059999999999992</v>
      </c>
      <c r="D27" t="n">
        <v>1.22100000000000009</v>
      </c>
      <c r="E27" t="n">
        <v>0.445000000000000018</v>
      </c>
      <c r="F27" t="n">
        <v>0.695999999999999819</v>
      </c>
      <c r="G27" t="n">
        <v>1.71199999999999992</v>
      </c>
      <c r="H27" t="n">
        <v>0.330000000000000027</v>
      </c>
      <c r="I27" s="33" t="s">
        <v>119</v>
      </c>
      <c r="J27" s="9" t="s">
        <v>86</v>
      </c>
      <c r="K27" s="9" t="n">
        <v>3.57900000000000018</v>
      </c>
      <c r="L27" s="9" t="n">
        <v>0.199000000000000021</v>
      </c>
      <c r="M27" t="n">
        <v>7674</v>
      </c>
      <c r="N27" t="n">
        <v>12208</v>
      </c>
      <c r="O27">
        <f>N27/M27</f>
        <v>1.59082616627573987</v>
      </c>
      <c r="P27" t="s">
        <v>62</v>
      </c>
      <c r="Q27" t="s">
        <v>63</v>
      </c>
      <c r="R27" t="s">
        <v>110</v>
      </c>
      <c r="S27">
        <f>HEX2DEC(MID(I27,2,2))</f>
        <v>214</v>
      </c>
      <c r="T27">
        <f>HEX2DEC(MID(I27,4,2))</f>
        <v>133</v>
      </c>
      <c r="U27">
        <f>HEX2DEC(MID(I27,6,2))</f>
        <v>88</v>
      </c>
      <c r="V27" s="10">
        <f>1.4*S27-T27</f>
        <v>166.599999999999994</v>
      </c>
    </row>
    <row r="28" spans="1:23" ht="15.75" customHeight="1">
      <c r="A28" t="n">
        <v>2023</v>
      </c>
      <c r="B28" t="s">
        <v>120</v>
      </c>
      <c r="C28" t="n">
        <v>8.49799999999999933</v>
      </c>
      <c r="D28" t="n">
        <v>0.898000000000000043</v>
      </c>
      <c r="E28" t="n">
        <v>0.246999999999999975</v>
      </c>
      <c r="F28" t="n">
        <v>0.472999999999999954</v>
      </c>
      <c r="G28" t="n">
        <v>0.769000000000000039</v>
      </c>
      <c r="H28" t="n">
        <v>0.106000000000000005</v>
      </c>
      <c r="I28" s="34" t="s">
        <v>121</v>
      </c>
      <c r="J28" s="9" t="s">
        <v>86</v>
      </c>
      <c r="K28" s="9" t="n">
        <v>2.1419999999999999</v>
      </c>
      <c r="L28" s="9" t="n">
        <v>0.13600000000000001</v>
      </c>
      <c r="M28" t="n">
        <v>10166</v>
      </c>
      <c r="N28" t="n">
        <v>11820</v>
      </c>
      <c r="O28">
        <f>N28/M28</f>
        <v>1.16269919338972993</v>
      </c>
      <c r="P28" t="s">
        <v>62</v>
      </c>
      <c r="Q28" t="s">
        <v>63</v>
      </c>
      <c r="R28" t="s">
        <v>110</v>
      </c>
      <c r="S28">
        <f>HEX2DEC(MID(I28,2,2))</f>
        <v>223</v>
      </c>
      <c r="T28">
        <f>HEX2DEC(MID(I28,4,2))</f>
        <v>164</v>
      </c>
      <c r="U28">
        <f>HEX2DEC(MID(I28,6,2))</f>
        <v>146</v>
      </c>
      <c r="V28" s="10">
        <f>1.4*S28-T28</f>
        <v>148.199999999999989</v>
      </c>
      <c r="W28" t="s">
        <v>122</v>
      </c>
    </row>
    <row r="29" spans="1:23" ht="15.75" customHeight="1">
      <c r="A29" t="n">
        <v>2023</v>
      </c>
      <c r="B29" t="s">
        <v>123</v>
      </c>
      <c r="C29" t="n">
        <v>12.0700000000000003</v>
      </c>
      <c r="D29" t="n">
        <v>1.09099999999999998</v>
      </c>
      <c r="E29" t="n">
        <v>0.450999999999999979</v>
      </c>
      <c r="F29" t="n">
        <v>0.741999999999999993</v>
      </c>
      <c r="G29" t="n">
        <v>1.31200000000000006</v>
      </c>
      <c r="H29" t="n">
        <v>0.298999999999999986</v>
      </c>
      <c r="I29" s="35" t="s">
        <v>124</v>
      </c>
      <c r="J29" s="9" t="s">
        <v>86</v>
      </c>
      <c r="K29" s="9" t="n">
        <v>3.38099999999999978</v>
      </c>
      <c r="L29" s="9" t="n">
        <v>0.40699999999999994</v>
      </c>
      <c r="M29" t="n">
        <v>10275</v>
      </c>
      <c r="N29" t="n">
        <v>12340</v>
      </c>
      <c r="O29">
        <f>N29/M29</f>
        <v>1.20097323600973005</v>
      </c>
      <c r="P29" t="s">
        <v>62</v>
      </c>
      <c r="Q29" t="s">
        <v>63</v>
      </c>
      <c r="R29" t="s">
        <v>110</v>
      </c>
      <c r="S29">
        <f>HEX2DEC(MID(I29,2,2))</f>
        <v>229</v>
      </c>
      <c r="T29">
        <f>HEX2DEC(MID(I29,4,2))</f>
        <v>164</v>
      </c>
      <c r="U29">
        <f>HEX2DEC(MID(I29,6,2))</f>
        <v>122</v>
      </c>
      <c r="V29" s="10">
        <f>1.4*S29-T29</f>
        <v>156.599999999999994</v>
      </c>
      <c r="W29" t="s">
        <v>125</v>
      </c>
    </row>
    <row r="30" spans="1:22" ht="15.75" customHeight="1">
      <c r="A30" t="n">
        <v>2023</v>
      </c>
      <c r="B30" t="s">
        <v>126</v>
      </c>
      <c r="C30" t="n">
        <v>16.0919999999999952</v>
      </c>
      <c r="D30" t="n">
        <v>1.15300000000000002</v>
      </c>
      <c r="E30" t="n">
        <v>0.338000000000000078</v>
      </c>
      <c r="F30" t="n">
        <v>0.737000000000000011</v>
      </c>
      <c r="G30" t="n">
        <v>1.9879999999999999</v>
      </c>
      <c r="H30" t="n">
        <v>0.225</v>
      </c>
      <c r="I30" s="36" t="s">
        <v>127</v>
      </c>
      <c r="J30" s="9" t="s">
        <v>86</v>
      </c>
      <c r="K30" s="9" t="n">
        <v>4.53699999999999992</v>
      </c>
      <c r="L30" s="9" t="n">
        <v>0.231000000000000005</v>
      </c>
      <c r="M30" t="n">
        <v>9748</v>
      </c>
      <c r="N30" t="n">
        <v>12153</v>
      </c>
      <c r="O30">
        <f>N30/M30</f>
        <v>1.24671727533853005</v>
      </c>
      <c r="P30" t="s">
        <v>62</v>
      </c>
      <c r="Q30" t="s">
        <v>63</v>
      </c>
      <c r="R30" t="s">
        <v>110</v>
      </c>
      <c r="S30">
        <f>HEX2DEC(MID(I30,2,2))</f>
        <v>192</v>
      </c>
      <c r="T30">
        <f>HEX2DEC(MID(I30,4,2))</f>
        <v>110</v>
      </c>
      <c r="U30">
        <f>HEX2DEC(MID(I30,6,2))</f>
        <v>66</v>
      </c>
      <c r="V30" s="10">
        <f>1.4*S30-T30</f>
        <v>158.800000000000011</v>
      </c>
    </row>
    <row r="31" spans="1:23" ht="15.75" customHeight="1">
      <c r="A31" s="5" t="n">
        <v>2023</v>
      </c>
      <c r="B31" s="5" t="s">
        <v>128</v>
      </c>
      <c r="C31" s="5" t="n">
        <v>11.0660000000000007</v>
      </c>
      <c r="D31" s="5" t="n">
        <v>1.16599999999999993</v>
      </c>
      <c r="E31" s="5" t="n">
        <v>0.553000000000000025</v>
      </c>
      <c r="F31" s="5" t="n">
        <v>1.123</v>
      </c>
      <c r="G31" s="5" t="n">
        <v>1.69300000000000006</v>
      </c>
      <c r="H31" s="5" t="n">
        <v>0.495999999999999996</v>
      </c>
      <c r="I31" s="37" t="s">
        <v>129</v>
      </c>
      <c r="J31" s="38" t="n">
        <v>7.84600000000000009</v>
      </c>
      <c r="K31" s="38" t="n">
        <v>3.63899999999999979</v>
      </c>
      <c r="L31" s="38" t="n">
        <v>0.135000000000000009</v>
      </c>
      <c r="M31" s="5" t="n">
        <v>5557</v>
      </c>
      <c r="N31" s="5" t="n">
        <v>15519</v>
      </c>
      <c r="O31">
        <f>N31/M31</f>
        <v>2.79269389958610992</v>
      </c>
      <c r="P31" t="s">
        <v>115</v>
      </c>
      <c r="Q31" s="5" t="s">
        <v>63</v>
      </c>
      <c r="R31" s="5" t="s">
        <v>110</v>
      </c>
      <c r="S31">
        <f>HEX2DEC(MID(I31,2,2))</f>
        <v>60</v>
      </c>
      <c r="T31">
        <f>HEX2DEC(MID(I31,4,2))</f>
        <v>39</v>
      </c>
      <c r="U31">
        <f>HEX2DEC(MID(I31,6,2))</f>
        <v>41</v>
      </c>
      <c r="V31" s="10">
        <f>1.4*S31-T31</f>
        <v>45</v>
      </c>
      <c r="W31" s="5"/>
    </row>
    <row r="32" spans="1:23" ht="15.75" customHeight="1">
      <c r="A32" s="5" t="n">
        <v>2023</v>
      </c>
      <c r="B32" s="5" t="s">
        <v>130</v>
      </c>
      <c r="C32" s="5" t="n">
        <v>12.1479999999999997</v>
      </c>
      <c r="D32" s="5" t="n">
        <v>1.10000000000000009</v>
      </c>
      <c r="E32" s="5" t="n">
        <v>0.4</v>
      </c>
      <c r="F32" s="5" t="n">
        <v>0.7</v>
      </c>
      <c r="G32" s="5" t="n">
        <v>1</v>
      </c>
      <c r="H32" s="5" t="n">
        <v>0.3</v>
      </c>
      <c r="I32" s="39" t="s">
        <v>131</v>
      </c>
      <c r="J32" s="38" t="n">
        <v>6.29999999999999982</v>
      </c>
      <c r="K32" s="38" t="n">
        <v>3.70000000000000018</v>
      </c>
      <c r="L32" s="38" t="n">
        <v>0.362000000000000011</v>
      </c>
      <c r="M32" s="5" t="n">
        <v>8034</v>
      </c>
      <c r="N32" s="5" t="n">
        <v>16491</v>
      </c>
      <c r="O32">
        <f>N32/M32</f>
        <v>2.05265123226288004</v>
      </c>
      <c r="P32" t="s">
        <v>115</v>
      </c>
      <c r="Q32" s="5" t="s">
        <v>63</v>
      </c>
      <c r="R32" s="5" t="s">
        <v>110</v>
      </c>
      <c r="S32">
        <f>HEX2DEC(MID(I32,2,2))</f>
        <v>61</v>
      </c>
      <c r="T32">
        <f>HEX2DEC(MID(I32,4,2))</f>
        <v>20</v>
      </c>
      <c r="U32">
        <f>HEX2DEC(MID(I32,6,2))</f>
        <v>18</v>
      </c>
      <c r="V32" s="10">
        <f>1.4*S32-T32</f>
        <v>65.4000000000000057</v>
      </c>
      <c r="W32" s="5"/>
    </row>
    <row r="33" spans="1:22" ht="15.75" customHeight="1">
      <c r="A33" t="n">
        <v>2023</v>
      </c>
      <c r="B33" t="s">
        <v>132</v>
      </c>
      <c r="C33" t="n">
        <v>15.1419999999999995</v>
      </c>
      <c r="D33" t="n">
        <v>1.2430000000000001</v>
      </c>
      <c r="E33" t="n">
        <v>0.446999999999999975</v>
      </c>
      <c r="F33" t="n">
        <v>0.878999999999999915</v>
      </c>
      <c r="G33" t="n">
        <v>1.52299999999999969</v>
      </c>
      <c r="H33" t="n">
        <v>0.320000000000000018</v>
      </c>
      <c r="I33" s="40" t="s">
        <v>133</v>
      </c>
      <c r="J33" s="9" t="s">
        <v>86</v>
      </c>
      <c r="K33" s="9" t="n">
        <v>5.29999999999999982</v>
      </c>
      <c r="L33" s="9" t="n">
        <v>0.2</v>
      </c>
      <c r="M33" t="n">
        <v>9928</v>
      </c>
      <c r="N33" t="n">
        <v>12644</v>
      </c>
      <c r="O33">
        <f>N33/M33</f>
        <v>1.27356970185334006</v>
      </c>
      <c r="P33" t="s">
        <v>62</v>
      </c>
      <c r="Q33" t="s">
        <v>63</v>
      </c>
      <c r="R33" t="s">
        <v>110</v>
      </c>
      <c r="S33">
        <f>HEX2DEC(MID(I33,2,2))</f>
        <v>199</v>
      </c>
      <c r="T33">
        <f>HEX2DEC(MID(I33,4,2))</f>
        <v>123</v>
      </c>
      <c r="U33">
        <f>HEX2DEC(MID(I33,6,2))</f>
        <v>84</v>
      </c>
      <c r="V33" s="10">
        <f>1.4*S33-T33</f>
        <v>155.599999999999994</v>
      </c>
    </row>
    <row r="34" spans="1:22" ht="15.75" customHeight="1">
      <c r="A34" t="n">
        <v>2023</v>
      </c>
      <c r="B34" t="s">
        <v>134</v>
      </c>
      <c r="C34" t="n">
        <v>15.3659999999999997</v>
      </c>
      <c r="D34" t="n">
        <v>1.254</v>
      </c>
      <c r="E34" t="n">
        <v>0.466000000000000014</v>
      </c>
      <c r="F34" t="n">
        <v>0.86899999999999995</v>
      </c>
      <c r="G34" t="n">
        <v>1.78200000000000003</v>
      </c>
      <c r="H34" t="n">
        <v>0.348999999999999977</v>
      </c>
      <c r="I34" s="41" t="s">
        <v>135</v>
      </c>
      <c r="J34" s="9" t="n">
        <v>8.09299999999999997</v>
      </c>
      <c r="K34" s="9" t="n">
        <v>4.48299999999999965</v>
      </c>
      <c r="L34" s="9" t="n">
        <v>0.332000000000000028</v>
      </c>
      <c r="M34" t="n">
        <v>8904</v>
      </c>
      <c r="N34" t="n">
        <v>12318</v>
      </c>
      <c r="O34">
        <f>N34/M34</f>
        <v>1.38342318059298997</v>
      </c>
      <c r="P34" t="s">
        <v>62</v>
      </c>
      <c r="Q34" t="s">
        <v>63</v>
      </c>
      <c r="R34" t="s">
        <v>110</v>
      </c>
      <c r="S34">
        <f>HEX2DEC(MID(I34,2,2))</f>
        <v>171</v>
      </c>
      <c r="T34">
        <f>HEX2DEC(MID(I34,4,2))</f>
        <v>104</v>
      </c>
      <c r="U34">
        <f>HEX2DEC(MID(I34,6,2))</f>
        <v>72</v>
      </c>
      <c r="V34" s="10">
        <f>1.4*S34-T34</f>
        <v>135.400000000000006</v>
      </c>
    </row>
    <row r="35" spans="1:23" ht="15.75" customHeight="1">
      <c r="A35" t="n">
        <v>2023</v>
      </c>
      <c r="B35" t="s">
        <v>136</v>
      </c>
      <c r="C35" t="n">
        <v>12.5350000000000001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s="42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  <c r="O35" t="e">
        <f>N35/M35</f>
        <v>#VALUE!</v>
      </c>
      <c r="P35" t="s">
        <v>62</v>
      </c>
      <c r="Q35" t="s">
        <v>63</v>
      </c>
      <c r="R35" t="s">
        <v>110</v>
      </c>
      <c r="S35">
        <f>HEX2DEC(MID(I35,2,2))</f>
        <v>10</v>
      </c>
      <c r="T35">
        <f>HEX2DEC(MID(I35,4,2))</f>
        <v>0</v>
      </c>
      <c r="U35">
        <f>HEX2DEC(MID(I35,6,2))</f>
        <v>0</v>
      </c>
      <c r="V35" s="10">
        <f>1.4*S35-T35</f>
        <v>14</v>
      </c>
      <c r="W35" t="s">
        <v>137</v>
      </c>
    </row>
    <row r="36" spans="1:23" ht="15.75" customHeight="1">
      <c r="A36" t="n">
        <v>2021</v>
      </c>
      <c r="B36" t="s">
        <v>138</v>
      </c>
      <c r="C36" t="n">
        <v>19.8389999999999986</v>
      </c>
      <c r="D36" t="n">
        <v>1.87000000000000011</v>
      </c>
      <c r="E36" t="n">
        <v>0.617999999999999972</v>
      </c>
      <c r="F36" t="n">
        <v>1.41100000000000003</v>
      </c>
      <c r="G36" t="n">
        <v>2.93599999999999994</v>
      </c>
      <c r="H36" t="n">
        <v>0.633999999999999986</v>
      </c>
      <c r="I36" s="43" t="s">
        <v>139</v>
      </c>
      <c r="J36" t="n">
        <v>9.2970000000000006</v>
      </c>
      <c r="K36" t="n">
        <v>5.02299999999999969</v>
      </c>
      <c r="L36" t="s">
        <v>86</v>
      </c>
      <c r="M36" t="n">
        <v>5251</v>
      </c>
      <c r="N36" t="n">
        <v>12100</v>
      </c>
      <c r="O36">
        <f>N36/M36</f>
        <v>2.30432298609788999</v>
      </c>
      <c r="P36" t="s">
        <v>115</v>
      </c>
      <c r="Q36" t="s">
        <v>63</v>
      </c>
      <c r="R36" t="n">
        <v>300</v>
      </c>
      <c r="S36">
        <f>HEX2DEC(MID(I36,2,2))</f>
        <v>15</v>
      </c>
      <c r="T36">
        <f>HEX2DEC(MID(I36,4,2))</f>
        <v>9</v>
      </c>
      <c r="U36">
        <f>HEX2DEC(MID(I36,6,2))</f>
        <v>8</v>
      </c>
      <c r="V36" s="10">
        <f>1.4*S36-T36</f>
        <v>12</v>
      </c>
      <c r="W36" t="s">
        <v>125</v>
      </c>
    </row>
    <row r="37" spans="1:23" ht="15.75" customHeight="1">
      <c r="A37" t="n">
        <v>2021</v>
      </c>
      <c r="B37" t="s">
        <v>140</v>
      </c>
      <c r="C37" t="n">
        <v>17.6110000000000007</v>
      </c>
      <c r="D37" t="n">
        <v>0.871000000000000085</v>
      </c>
      <c r="E37" t="n">
        <v>0.620999999999999996</v>
      </c>
      <c r="F37" t="n">
        <v>1.22599999999999998</v>
      </c>
      <c r="G37" t="n">
        <v>1.72199999999999998</v>
      </c>
      <c r="H37" t="n">
        <v>0.430999999999999961</v>
      </c>
      <c r="I37" s="44" t="s">
        <v>141</v>
      </c>
      <c r="J37" t="n">
        <v>5.23299999999999965</v>
      </c>
      <c r="K37" t="n">
        <v>2.68400000000000016</v>
      </c>
      <c r="L37" t="s">
        <v>86</v>
      </c>
      <c r="M37" t="n">
        <v>4668</v>
      </c>
      <c r="N37" t="n">
        <v>14715</v>
      </c>
      <c r="O37">
        <f>N37/M37</f>
        <v>3.15231362467865983</v>
      </c>
      <c r="P37" t="s">
        <v>115</v>
      </c>
      <c r="Q37" t="s">
        <v>63</v>
      </c>
      <c r="R37" t="n">
        <v>300</v>
      </c>
      <c r="S37">
        <f>HEX2DEC(MID(I37,2,2))</f>
        <v>22</v>
      </c>
      <c r="T37">
        <f>HEX2DEC(MID(I37,4,2))</f>
        <v>16</v>
      </c>
      <c r="U37">
        <f>HEX2DEC(MID(I37,6,2))</f>
        <v>7</v>
      </c>
      <c r="V37" s="10">
        <f>1.4*S37-T37</f>
        <v>14.8000000000000007</v>
      </c>
      <c r="W37" t="s">
        <v>142</v>
      </c>
    </row>
    <row r="38" spans="1:23" ht="15.75" customHeight="1">
      <c r="A38" t="n">
        <v>2025</v>
      </c>
      <c r="B38" t="s">
        <v>143</v>
      </c>
      <c r="C38" t="n">
        <v>18.9989999999999988</v>
      </c>
      <c r="D38" t="n">
        <v>2.06099999999999994</v>
      </c>
      <c r="E38" t="n">
        <v>0.634999999999999964</v>
      </c>
      <c r="F38" t="n">
        <v>1.1160000000000001</v>
      </c>
      <c r="G38" t="n">
        <v>5.04300000000000015</v>
      </c>
      <c r="H38" t="n">
        <v>0.599000000000000021</v>
      </c>
      <c r="I38" s="45" t="s">
        <v>144</v>
      </c>
      <c r="M38" t="n">
        <v>8654</v>
      </c>
      <c r="N38" t="n">
        <v>14216</v>
      </c>
      <c r="O38">
        <f>N38/M38</f>
        <v>1.64270857406978994</v>
      </c>
      <c r="P38" t="s">
        <v>115</v>
      </c>
      <c r="Q38" t="s">
        <v>63</v>
      </c>
      <c r="R38" t="n">
        <v>250</v>
      </c>
      <c r="S38">
        <f>HEX2DEC(MID(I38,2,2))</f>
        <v>28</v>
      </c>
      <c r="T38">
        <f>HEX2DEC(MID(I38,4,2))</f>
        <v>17</v>
      </c>
      <c r="U38">
        <f>HEX2DEC(MID(I38,6,2))</f>
        <v>16</v>
      </c>
      <c r="V38" s="10">
        <f>1.4*S38-T38</f>
        <v>22.1999999999999993</v>
      </c>
      <c r="W38" t="s">
        <v>145</v>
      </c>
    </row>
    <row r="39" spans="1:23" ht="15.75" customHeight="1">
      <c r="A39" t="n">
        <v>2025</v>
      </c>
      <c r="B39" t="s">
        <v>146</v>
      </c>
      <c r="C39" t="n">
        <v>21.5990000000000002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s="46" t="s">
        <v>147</v>
      </c>
      <c r="J39" t="s">
        <v>86</v>
      </c>
      <c r="K39" t="s">
        <v>86</v>
      </c>
      <c r="L39" t="s">
        <v>86</v>
      </c>
      <c r="M39" t="n">
        <v>6342</v>
      </c>
      <c r="N39" t="n">
        <v>12200</v>
      </c>
      <c r="O39">
        <f>N39/M39</f>
        <v>1.92368338063701998</v>
      </c>
      <c r="P39" t="s">
        <v>115</v>
      </c>
      <c r="Q39" t="s">
        <v>63</v>
      </c>
      <c r="R39" t="n">
        <v>250</v>
      </c>
      <c r="S39">
        <f>HEX2DEC(MID(I39,2,2))</f>
        <v>15</v>
      </c>
      <c r="T39">
        <f>HEX2DEC(MID(I39,4,2))</f>
        <v>5</v>
      </c>
      <c r="U39">
        <f>HEX2DEC(MID(I39,6,2))</f>
        <v>5</v>
      </c>
      <c r="V39" s="10">
        <f>1.4*S39-T39</f>
        <v>16</v>
      </c>
      <c r="W39" t="s">
        <v>148</v>
      </c>
    </row>
    <row r="40" spans="1:23" ht="15.75" customHeight="1">
      <c r="A40" t="n">
        <v>2025</v>
      </c>
      <c r="B40" t="s">
        <v>149</v>
      </c>
      <c r="C40" t="n">
        <v>21.1009999999999991</v>
      </c>
      <c r="D40" t="n">
        <v>1.54800000000000004</v>
      </c>
      <c r="E40" t="n">
        <v>0.525</v>
      </c>
      <c r="F40" t="n">
        <v>1.32400000000000007</v>
      </c>
      <c r="G40" t="n">
        <v>6.83399999999999963</v>
      </c>
      <c r="H40" t="n">
        <v>0.466000000000000014</v>
      </c>
      <c r="I40" s="47" t="s">
        <v>150</v>
      </c>
      <c r="M40" t="s">
        <v>86</v>
      </c>
      <c r="N40" t="s">
        <v>86</v>
      </c>
      <c r="O40" t="e">
        <f>N40/M40</f>
        <v>#VALUE!</v>
      </c>
      <c r="P40" t="s">
        <v>115</v>
      </c>
      <c r="Q40" t="s">
        <v>63</v>
      </c>
      <c r="R40" t="n">
        <v>250</v>
      </c>
      <c r="S40">
        <f>HEX2DEC(MID(I40,2,2))</f>
        <v>32</v>
      </c>
      <c r="T40">
        <f>HEX2DEC(MID(I40,4,2))</f>
        <v>13</v>
      </c>
      <c r="U40">
        <f>HEX2DEC(MID(I40,6,2))</f>
        <v>7</v>
      </c>
      <c r="V40" s="10">
        <f>1.4*S40-T40</f>
        <v>31.8000000000000007</v>
      </c>
      <c r="W40" t="s">
        <v>151</v>
      </c>
    </row>
    <row r="41" spans="1:22" ht="15.75" customHeight="1">
      <c r="A41" t="n">
        <v>2025</v>
      </c>
      <c r="B41" t="s">
        <v>152</v>
      </c>
      <c r="C41" t="n">
        <v>21.4579999999999984</v>
      </c>
      <c r="E41" t="n">
        <v>0.500999999999999979</v>
      </c>
      <c r="F41" t="n">
        <v>1.15900000000000003</v>
      </c>
      <c r="H41" t="n">
        <v>0.408999999999999986</v>
      </c>
      <c r="I41" s="48" t="s">
        <v>153</v>
      </c>
      <c r="M41" t="n">
        <v>7388</v>
      </c>
      <c r="N41" t="n">
        <v>10227</v>
      </c>
      <c r="O41">
        <f>N41/M41</f>
        <v>1.38427179209529005</v>
      </c>
      <c r="P41" t="s">
        <v>115</v>
      </c>
      <c r="Q41" t="s">
        <v>63</v>
      </c>
      <c r="R41" t="n">
        <v>250</v>
      </c>
      <c r="S41">
        <f>HEX2DEC(MID(I41,2,2))</f>
        <v>31</v>
      </c>
      <c r="T41">
        <f>HEX2DEC(MID(I41,4,2))</f>
        <v>25</v>
      </c>
      <c r="U41">
        <f>HEX2DEC(MID(I41,6,2))</f>
        <v>15</v>
      </c>
      <c r="V41" s="10">
        <f>1.4*S41-T41</f>
        <v>18.3999999999999986</v>
      </c>
    </row>
    <row r="42" spans="1:22" ht="15.75" customHeight="1">
      <c r="A42" t="n">
        <v>2025</v>
      </c>
      <c r="B42" t="s">
        <v>154</v>
      </c>
      <c r="C42" t="n">
        <v>18.7330000000000005</v>
      </c>
      <c r="D42" t="n">
        <v>1.44700000000000006</v>
      </c>
      <c r="E42" t="n">
        <v>0.637000000000000011</v>
      </c>
      <c r="F42" t="n">
        <v>1.5</v>
      </c>
      <c r="G42" t="n">
        <v>2.89000000000000021</v>
      </c>
      <c r="H42" t="n">
        <v>0.708999999999999986</v>
      </c>
      <c r="I42" s="49" t="s">
        <v>155</v>
      </c>
      <c r="J42" t="n">
        <v>7.57099999999999884</v>
      </c>
      <c r="K42" t="n">
        <v>5.21199999999999974</v>
      </c>
      <c r="M42" t="n">
        <v>6958</v>
      </c>
      <c r="N42" t="n">
        <v>11272</v>
      </c>
      <c r="O42">
        <f>N42/M42</f>
        <v>1.62000574877838011</v>
      </c>
      <c r="P42" t="s">
        <v>115</v>
      </c>
      <c r="Q42" t="s">
        <v>63</v>
      </c>
      <c r="R42" t="n">
        <v>250</v>
      </c>
      <c r="S42">
        <f>HEX2DEC(MID(I42,2,2))</f>
        <v>11</v>
      </c>
      <c r="T42">
        <f>HEX2DEC(MID(I42,4,2))</f>
        <v>11</v>
      </c>
      <c r="U42">
        <f>HEX2DEC(MID(I42,6,2))</f>
        <v>1</v>
      </c>
      <c r="V42" s="10">
        <f>1.4*S42-T42</f>
        <v>4.40000000000000036</v>
      </c>
    </row>
    <row r="43" spans="1:23" ht="15.75" customHeight="1">
      <c r="A43" t="n">
        <v>2025</v>
      </c>
      <c r="B43" t="s">
        <v>156</v>
      </c>
      <c r="C43" t="n">
        <v>21.9939999999999998</v>
      </c>
      <c r="D43" t="n">
        <v>1.83900000000000006</v>
      </c>
      <c r="E43" t="n">
        <v>0.72599999999999989</v>
      </c>
      <c r="F43" t="n">
        <v>1.44900000000000002</v>
      </c>
      <c r="G43" t="n">
        <v>4.02500000000000036</v>
      </c>
      <c r="H43" t="n">
        <v>0.75099999999999989</v>
      </c>
      <c r="I43" s="50" t="s">
        <v>157</v>
      </c>
      <c r="J43" t="n">
        <v>14.7899999999999991</v>
      </c>
      <c r="K43" t="s">
        <v>86</v>
      </c>
      <c r="M43" t="n">
        <v>7357</v>
      </c>
      <c r="N43" t="n">
        <v>13299</v>
      </c>
      <c r="O43">
        <f>N43/M43</f>
        <v>1.80766616827511015</v>
      </c>
      <c r="P43" t="s">
        <v>115</v>
      </c>
      <c r="Q43" t="s">
        <v>63</v>
      </c>
      <c r="R43" t="n">
        <v>250</v>
      </c>
      <c r="S43">
        <f>HEX2DEC(MID(I43,2,2))</f>
        <v>11</v>
      </c>
      <c r="T43">
        <f>HEX2DEC(MID(I43,4,2))</f>
        <v>4</v>
      </c>
      <c r="U43">
        <f>HEX2DEC(MID(I43,6,2))</f>
        <v>3</v>
      </c>
      <c r="V43" s="10">
        <f>1.4*S43-T43</f>
        <v>11.4000000000000004</v>
      </c>
      <c r="W43" t="s">
        <v>158</v>
      </c>
    </row>
    <row r="44" spans="1:22" ht="15.75" customHeight="1">
      <c r="A44" t="n">
        <v>2025</v>
      </c>
      <c r="B44" t="s">
        <v>159</v>
      </c>
      <c r="C44" t="n">
        <v>20.8290000000000006</v>
      </c>
      <c r="D44" t="n">
        <v>1.53200000000000003</v>
      </c>
      <c r="E44" t="n">
        <v>0.527000000000000046</v>
      </c>
      <c r="F44" t="n">
        <v>1.62799999999999994</v>
      </c>
      <c r="G44" t="n">
        <v>3.62300000000000022</v>
      </c>
      <c r="H44" t="n">
        <v>0.585999999999999943</v>
      </c>
      <c r="I44" s="51" t="s">
        <v>160</v>
      </c>
      <c r="M44" t="n">
        <v>5560</v>
      </c>
      <c r="N44" t="n">
        <v>10183</v>
      </c>
      <c r="O44">
        <f>N44/M44</f>
        <v>1.83147482014388991</v>
      </c>
      <c r="P44" t="s">
        <v>115</v>
      </c>
      <c r="Q44" t="s">
        <v>63</v>
      </c>
      <c r="R44" t="n">
        <v>250</v>
      </c>
      <c r="S44">
        <f>HEX2DEC(MID(I44,2,2))</f>
        <v>22</v>
      </c>
      <c r="T44">
        <f>HEX2DEC(MID(I44,4,2))</f>
        <v>9</v>
      </c>
      <c r="U44">
        <f>HEX2DEC(MID(I44,6,2))</f>
        <v>2</v>
      </c>
      <c r="V44" s="10">
        <f>1.4*S44-T44</f>
        <v>21.8000000000000007</v>
      </c>
    </row>
    <row r="45" spans="1:23" ht="15.75" customHeight="1">
      <c r="A45" t="n">
        <v>2025</v>
      </c>
      <c r="B45" t="s">
        <v>161</v>
      </c>
      <c r="C45" t="n">
        <v>16.8979999999999997</v>
      </c>
      <c r="D45" t="s">
        <v>86</v>
      </c>
      <c r="E45" t="s">
        <v>86</v>
      </c>
      <c r="F45" t="s">
        <v>86</v>
      </c>
      <c r="G45" t="s">
        <v>86</v>
      </c>
      <c r="H45" t="s">
        <v>86</v>
      </c>
      <c r="I45" s="52" t="s">
        <v>162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  <c r="O45" t="e">
        <f>N45/M45</f>
        <v>#VALUE!</v>
      </c>
      <c r="P45" t="s">
        <v>115</v>
      </c>
      <c r="Q45" t="s">
        <v>63</v>
      </c>
      <c r="R45" t="n">
        <v>250</v>
      </c>
      <c r="S45">
        <f>HEX2DEC(MID(I45,2,2))</f>
        <v>9</v>
      </c>
      <c r="T45">
        <f>HEX2DEC(MID(I45,4,2))</f>
        <v>2</v>
      </c>
      <c r="U45">
        <f>HEX2DEC(MID(I45,6,2))</f>
        <v>0</v>
      </c>
      <c r="V45" s="10">
        <f>1.4*S45-T45</f>
        <v>10.5999999999999996</v>
      </c>
      <c r="W45" t="s">
        <v>163</v>
      </c>
    </row>
    <row r="46" spans="1:22" ht="15.75" customHeight="1">
      <c r="A46" t="n">
        <v>2025</v>
      </c>
      <c r="B46" t="s">
        <v>164</v>
      </c>
      <c r="C46" t="n">
        <v>24.6980000000000004</v>
      </c>
      <c r="D46" t="n">
        <v>1.81600000000000001</v>
      </c>
      <c r="E46" t="n">
        <v>0.658000000000000007</v>
      </c>
      <c r="F46" t="n">
        <v>1.27800000000000002</v>
      </c>
      <c r="G46" t="n">
        <v>4.33100000000000041</v>
      </c>
      <c r="H46" t="n">
        <v>0.729999999999999982</v>
      </c>
      <c r="I46" s="53" t="s">
        <v>165</v>
      </c>
      <c r="J46" t="s">
        <v>86</v>
      </c>
      <c r="K46" t="s">
        <v>86</v>
      </c>
      <c r="L46" t="s">
        <v>86</v>
      </c>
      <c r="M46" t="n">
        <v>8809</v>
      </c>
      <c r="N46" t="n">
        <v>14858</v>
      </c>
      <c r="O46">
        <f>N46/M46</f>
        <v>1.68668407310705</v>
      </c>
      <c r="P46" t="s">
        <v>115</v>
      </c>
      <c r="Q46" t="s">
        <v>63</v>
      </c>
      <c r="R46" t="n">
        <v>250</v>
      </c>
      <c r="S46">
        <f>HEX2DEC(MID(I46,2,2))</f>
        <v>8</v>
      </c>
      <c r="T46">
        <f>HEX2DEC(MID(I46,4,2))</f>
        <v>2</v>
      </c>
      <c r="U46">
        <f>HEX2DEC(MID(I46,6,2))</f>
        <v>3</v>
      </c>
      <c r="V46" s="10">
        <f>1.4*S46-T46</f>
        <v>9.19999999999999929</v>
      </c>
    </row>
    <row r="47" spans="1:22" ht="15.75" customHeight="1">
      <c r="A47" t="n">
        <v>2025</v>
      </c>
      <c r="B47" t="s">
        <v>166</v>
      </c>
      <c r="C47" t="n">
        <v>24.7079999999999984</v>
      </c>
      <c r="D47" t="n">
        <v>2.05799999999999983</v>
      </c>
      <c r="E47" t="n">
        <v>0.834999999999999787</v>
      </c>
      <c r="F47" t="n">
        <v>1.53600000000000003</v>
      </c>
      <c r="G47" t="n">
        <v>4.80499999999999972</v>
      </c>
      <c r="H47" t="n">
        <v>0.921000000000000085</v>
      </c>
      <c r="I47" s="54" t="s">
        <v>167</v>
      </c>
      <c r="J47" t="n">
        <v>11.1999999999999993</v>
      </c>
      <c r="K47" t="n">
        <v>6.50999999999999979</v>
      </c>
      <c r="M47" t="n">
        <v>6605</v>
      </c>
      <c r="N47" t="n">
        <v>14658</v>
      </c>
      <c r="O47">
        <f>N47/M47</f>
        <v>2.21922785768357</v>
      </c>
      <c r="P47" t="s">
        <v>115</v>
      </c>
      <c r="Q47" t="s">
        <v>63</v>
      </c>
      <c r="R47" t="n">
        <v>250</v>
      </c>
      <c r="S47">
        <f>HEX2DEC(MID(I47,2,2))</f>
        <v>11</v>
      </c>
      <c r="T47">
        <f>HEX2DEC(MID(I47,4,2))</f>
        <v>4</v>
      </c>
      <c r="U47">
        <f>HEX2DEC(MID(I47,6,2))</f>
        <v>0</v>
      </c>
      <c r="V47" s="10">
        <f>1.4*S47-T47</f>
        <v>11.4000000000000004</v>
      </c>
    </row>
    <row r="48" spans="1:22" ht="15.75" customHeight="1">
      <c r="A48" t="n">
        <v>2025</v>
      </c>
      <c r="B48" t="s">
        <v>168</v>
      </c>
      <c r="C48" t="n">
        <v>19.1999999999999993</v>
      </c>
      <c r="D48" t="n">
        <v>1.8</v>
      </c>
      <c r="E48" t="n">
        <v>0.5</v>
      </c>
      <c r="F48" t="n">
        <v>0.9</v>
      </c>
      <c r="G48" t="n">
        <v>2.5</v>
      </c>
      <c r="H48" t="n">
        <v>0.4</v>
      </c>
      <c r="I48" s="55" t="s">
        <v>169</v>
      </c>
      <c r="J48" t="n">
        <v>12.3000000000000007</v>
      </c>
      <c r="K48" t="n">
        <v>5.5</v>
      </c>
      <c r="M48" t="n">
        <v>7617</v>
      </c>
      <c r="N48" t="n">
        <v>14742</v>
      </c>
      <c r="O48">
        <f>N48/M48</f>
        <v>1.93540764080347003</v>
      </c>
      <c r="P48" t="s">
        <v>115</v>
      </c>
      <c r="Q48" t="s">
        <v>63</v>
      </c>
      <c r="R48" t="n">
        <v>250</v>
      </c>
      <c r="S48">
        <f>HEX2DEC(MID(I48,2,2))</f>
        <v>8</v>
      </c>
      <c r="T48">
        <f>HEX2DEC(MID(I48,4,2))</f>
        <v>5</v>
      </c>
      <c r="U48">
        <f>HEX2DEC(MID(I48,6,2))</f>
        <v>6</v>
      </c>
      <c r="V48" s="10">
        <f>1.4*S48-T48</f>
        <v>6.20000000000000018</v>
      </c>
    </row>
    <row r="49" spans="1:22" ht="15.75" customHeight="1">
      <c r="A49" t="n">
        <v>1987</v>
      </c>
      <c r="B49" t="s">
        <v>170</v>
      </c>
      <c r="C49" s="9" t="n">
        <v>10.7370000000000001</v>
      </c>
      <c r="D49" t="n">
        <v>0.892999999999999972</v>
      </c>
      <c r="E49" t="n">
        <v>0.201000000000000023</v>
      </c>
      <c r="F49" t="n">
        <v>0.741999999999999993</v>
      </c>
      <c r="G49" t="n">
        <v>1.10499999999999998</v>
      </c>
      <c r="H49" t="n">
        <v>0.175999999999999961</v>
      </c>
      <c r="I49" t="s">
        <v>86</v>
      </c>
      <c r="J49">
        <f>AVERAGE(5.434,4.089)</f>
        <v>4.76149999999999984</v>
      </c>
      <c r="K49">
        <f>AVERAGE(2.904,2.988)</f>
        <v>2.94600000000000009</v>
      </c>
      <c r="L49" t="n">
        <v>0.216000000000000014</v>
      </c>
      <c r="M49" t="s">
        <v>86</v>
      </c>
      <c r="N49" t="s">
        <v>86</v>
      </c>
      <c r="O49" t="s">
        <v>86</v>
      </c>
      <c r="P49" t="s">
        <v>86</v>
      </c>
      <c r="Q49" t="s">
        <v>171</v>
      </c>
      <c r="R49" t="s">
        <v>86</v>
      </c>
      <c r="S49" t="s">
        <v>86</v>
      </c>
      <c r="T49" t="s">
        <v>86</v>
      </c>
      <c r="U49" t="s">
        <v>86</v>
      </c>
      <c r="V49" t="s">
        <v>86</v>
      </c>
    </row>
    <row r="50" spans="1:22" ht="15.75" customHeight="1">
      <c r="A50" t="n">
        <v>1987</v>
      </c>
      <c r="B50" t="s">
        <v>172</v>
      </c>
      <c r="C50" s="9" t="n">
        <v>11.7050000000000001</v>
      </c>
      <c r="D50" t="n">
        <v>0.773000000000000043</v>
      </c>
      <c r="E50" t="n">
        <v>0.159000000000000004</v>
      </c>
      <c r="F50" t="n">
        <v>0.562000000000000099</v>
      </c>
      <c r="G50" t="n">
        <v>1.06299999999999994</v>
      </c>
      <c r="H50" t="n">
        <v>0.103000000000000003</v>
      </c>
      <c r="I50" t="s">
        <v>86</v>
      </c>
      <c r="J50">
        <f>AVERAGE(7.956,8.964)</f>
        <v>8.46000000000000085</v>
      </c>
      <c r="K50">
        <f>AVERAGE(3.271,3.144)</f>
        <v>3.20750000000000002</v>
      </c>
      <c r="L50" t="n">
        <v>0.261000000000000032</v>
      </c>
      <c r="M50" t="s">
        <v>86</v>
      </c>
      <c r="N50" t="s">
        <v>86</v>
      </c>
      <c r="O50" t="s">
        <v>86</v>
      </c>
      <c r="P50" t="s">
        <v>86</v>
      </c>
      <c r="Q50" t="s">
        <v>171</v>
      </c>
      <c r="R50" t="s">
        <v>86</v>
      </c>
      <c r="S50" t="s">
        <v>86</v>
      </c>
      <c r="T50" t="s">
        <v>86</v>
      </c>
      <c r="U50" t="s">
        <v>86</v>
      </c>
      <c r="V50" t="s">
        <v>86</v>
      </c>
    </row>
    <row r="51" spans="1:22" ht="15.75" customHeight="1">
      <c r="A51" t="n">
        <v>1987</v>
      </c>
      <c r="B51" t="s">
        <v>173</v>
      </c>
      <c r="C51" s="9" t="n">
        <v>13.4580000000000002</v>
      </c>
      <c r="D51" t="n">
        <v>0.904000000000000092</v>
      </c>
      <c r="E51" t="n">
        <v>0.220000000000000018</v>
      </c>
      <c r="F51" t="n">
        <v>0.589999999999999947</v>
      </c>
      <c r="G51" t="n">
        <v>1.04899999999999993</v>
      </c>
      <c r="H51" t="n">
        <v>0.110000000000000009</v>
      </c>
      <c r="I51" t="s">
        <v>86</v>
      </c>
      <c r="J51">
        <f>MAX(4.866,5.073)</f>
        <v>5.0730000000000004</v>
      </c>
      <c r="K51">
        <f>AVERAGE(3.086,2.681)</f>
        <v>2.88350000000000009</v>
      </c>
      <c r="L51" t="n">
        <v>0.239999999999999991</v>
      </c>
      <c r="M51" t="s">
        <v>86</v>
      </c>
      <c r="N51" t="s">
        <v>86</v>
      </c>
      <c r="O51" t="s">
        <v>86</v>
      </c>
      <c r="P51" t="s">
        <v>86</v>
      </c>
      <c r="Q51" t="s">
        <v>171</v>
      </c>
      <c r="R51" t="s">
        <v>86</v>
      </c>
      <c r="S51" t="s">
        <v>86</v>
      </c>
      <c r="T51" t="s">
        <v>86</v>
      </c>
      <c r="U51" t="s">
        <v>86</v>
      </c>
      <c r="V51" t="s">
        <v>86</v>
      </c>
    </row>
    <row r="52" spans="1:22" ht="15.75" customHeight="1">
      <c r="A52" t="n">
        <v>1987</v>
      </c>
      <c r="B52" t="s">
        <v>174</v>
      </c>
      <c r="C52" s="9" t="n">
        <v>9.96899999999999942</v>
      </c>
      <c r="D52" t="n">
        <v>0.878999999999999915</v>
      </c>
      <c r="E52" t="n">
        <v>0.273000000000000043</v>
      </c>
      <c r="F52" t="n">
        <v>0.591999999999999993</v>
      </c>
      <c r="G52" t="n">
        <v>0.982000000000000028</v>
      </c>
      <c r="H52" t="n">
        <v>0.141999999999999993</v>
      </c>
      <c r="I52" t="s">
        <v>86</v>
      </c>
      <c r="J52">
        <f>MAX(4.591,6.262)</f>
        <v>6.26199999999999957</v>
      </c>
      <c r="K52">
        <f>AVERAGE(2.198,2.1)</f>
        <v>2.14900000000000002</v>
      </c>
      <c r="L52" t="n">
        <v>0.160000000000000009</v>
      </c>
      <c r="M52" t="s">
        <v>86</v>
      </c>
      <c r="N52" t="s">
        <v>86</v>
      </c>
      <c r="O52" t="s">
        <v>86</v>
      </c>
      <c r="P52" t="s">
        <v>86</v>
      </c>
      <c r="Q52" t="s">
        <v>171</v>
      </c>
      <c r="R52" t="s">
        <v>86</v>
      </c>
      <c r="S52" t="s">
        <v>86</v>
      </c>
      <c r="T52" t="s">
        <v>86</v>
      </c>
      <c r="U52" t="s">
        <v>86</v>
      </c>
      <c r="V52" t="s">
        <v>86</v>
      </c>
    </row>
    <row r="53" spans="1:22" ht="15.75" customHeight="1">
      <c r="A53" t="n">
        <v>1987</v>
      </c>
      <c r="B53" t="s">
        <v>175</v>
      </c>
      <c r="C53" s="9" t="n">
        <v>11.6890000000000001</v>
      </c>
      <c r="D53" t="n">
        <v>0.812999999999999901</v>
      </c>
      <c r="E53" t="n">
        <v>0.187999999999999989</v>
      </c>
      <c r="F53" t="n">
        <v>0.508000000000000007</v>
      </c>
      <c r="G53" t="n">
        <v>0.914000000000000057</v>
      </c>
      <c r="H53" t="n">
        <v>0.101000000000000001</v>
      </c>
      <c r="I53" t="s">
        <v>86</v>
      </c>
      <c r="J53">
        <f>MAX(6.529,3.48)</f>
        <v>6.52899999999999991</v>
      </c>
      <c r="K53">
        <f>AVERAGE(2.921,2.77)</f>
        <v>2.84549999999999983</v>
      </c>
      <c r="L53" t="n">
        <v>0.262000000000000011</v>
      </c>
      <c r="M53" t="s">
        <v>86</v>
      </c>
      <c r="N53" t="s">
        <v>86</v>
      </c>
      <c r="O53" t="s">
        <v>86</v>
      </c>
      <c r="P53" t="s">
        <v>86</v>
      </c>
      <c r="Q53" t="s">
        <v>171</v>
      </c>
      <c r="R53" t="s">
        <v>86</v>
      </c>
      <c r="S53" t="s">
        <v>86</v>
      </c>
      <c r="T53" t="s">
        <v>86</v>
      </c>
      <c r="U53" t="s">
        <v>86</v>
      </c>
      <c r="V53" t="s">
        <v>86</v>
      </c>
    </row>
    <row r="54" spans="1:22" ht="15.75" customHeight="1">
      <c r="A54" t="n">
        <v>1987</v>
      </c>
      <c r="B54" t="s">
        <v>176</v>
      </c>
      <c r="C54" s="9" t="n">
        <v>9.13599999999999923</v>
      </c>
      <c r="D54" t="n">
        <v>0.71899999999999995</v>
      </c>
      <c r="E54" t="n">
        <v>0.179000000000000004</v>
      </c>
      <c r="F54" t="n">
        <v>0.529000000000000004</v>
      </c>
      <c r="G54" t="n">
        <v>0.743999999999999861</v>
      </c>
      <c r="H54" t="n">
        <v>0.0909999999999999964</v>
      </c>
      <c r="I54" t="s">
        <v>86</v>
      </c>
      <c r="J54">
        <f>MAX(4.439,3.735)</f>
        <v>4.43900000000000006</v>
      </c>
      <c r="K54">
        <f>AVERAGE(1.802,1.519)</f>
        <v>1.66050000000000004</v>
      </c>
      <c r="L54" t="n">
        <v>0.143999999999999995</v>
      </c>
      <c r="M54" t="s">
        <v>86</v>
      </c>
      <c r="N54" t="s">
        <v>86</v>
      </c>
      <c r="O54" t="s">
        <v>86</v>
      </c>
      <c r="P54" t="s">
        <v>86</v>
      </c>
      <c r="Q54" t="s">
        <v>171</v>
      </c>
      <c r="R54" t="s">
        <v>86</v>
      </c>
      <c r="S54" t="s">
        <v>86</v>
      </c>
      <c r="T54" t="s">
        <v>86</v>
      </c>
      <c r="U54" t="s">
        <v>86</v>
      </c>
      <c r="V54" t="s">
        <v>86</v>
      </c>
    </row>
    <row r="55" spans="2:22" ht="15.75" customHeight="1">
      <c r="B55" t="s">
        <v>177</v>
      </c>
      <c r="C55" t="n">
        <v>10.9939999999999998</v>
      </c>
      <c r="D55" t="n">
        <v>0.830999999999999872</v>
      </c>
      <c r="E55" t="n">
        <v>0.179999999999999964</v>
      </c>
      <c r="F55" t="n">
        <v>0.65</v>
      </c>
      <c r="G55" t="n">
        <v>1.03099999999999992</v>
      </c>
      <c r="H55" t="n">
        <v>0.122999999999999998</v>
      </c>
      <c r="I55" t="s">
        <v>86</v>
      </c>
      <c r="J55" t="n">
        <v>5.22599999999999998</v>
      </c>
      <c r="K55" t="n">
        <v>2.81099999999999994</v>
      </c>
      <c r="L55" t="n">
        <v>0.104000000000000004</v>
      </c>
      <c r="M55" t="s">
        <v>86</v>
      </c>
      <c r="N55" t="s">
        <v>86</v>
      </c>
      <c r="O55" t="s">
        <v>86</v>
      </c>
      <c r="P55" t="s">
        <v>86</v>
      </c>
      <c r="Q55" t="s">
        <v>178</v>
      </c>
      <c r="R55" t="s">
        <v>86</v>
      </c>
      <c r="S55" t="s">
        <v>86</v>
      </c>
      <c r="T55" t="s">
        <v>86</v>
      </c>
      <c r="U55" t="s">
        <v>86</v>
      </c>
      <c r="V55" t="s">
        <v>86</v>
      </c>
    </row>
    <row r="56" spans="1:22" ht="15.75" customHeight="1">
      <c r="A56" t="n">
        <v>2005</v>
      </c>
      <c r="B56" t="s">
        <v>179</v>
      </c>
      <c r="C56" t="n">
        <v>15.0800000000000001</v>
      </c>
      <c r="D56" t="n">
        <v>1.35699999999999998</v>
      </c>
      <c r="E56" t="n">
        <v>0.247999999999999998</v>
      </c>
      <c r="F56" t="n">
        <v>0.704999999999999982</v>
      </c>
      <c r="G56" t="n">
        <v>2.05200000000000005</v>
      </c>
      <c r="H56" t="n">
        <v>0.154000000000000004</v>
      </c>
      <c r="I56" t="s">
        <v>86</v>
      </c>
      <c r="J56" t="n">
        <v>7.80299999999999994</v>
      </c>
      <c r="K56" t="n">
        <v>4.20199999999999996</v>
      </c>
      <c r="L56" t="n">
        <v>0.237999999999999989</v>
      </c>
      <c r="M56" t="s">
        <v>86</v>
      </c>
      <c r="N56" t="s">
        <v>86</v>
      </c>
      <c r="O56" t="s">
        <v>86</v>
      </c>
      <c r="P56" t="s">
        <v>86</v>
      </c>
      <c r="Q56" t="s">
        <v>178</v>
      </c>
      <c r="R56" t="s">
        <v>86</v>
      </c>
      <c r="S56" t="s">
        <v>86</v>
      </c>
      <c r="T56" t="s">
        <v>86</v>
      </c>
      <c r="U56" t="s">
        <v>86</v>
      </c>
      <c r="V56" t="s">
        <v>86</v>
      </c>
    </row>
    <row r="57" spans="1:22" ht="15.75" customHeight="1">
      <c r="A57" t="n">
        <v>2005</v>
      </c>
      <c r="B57" t="s">
        <v>180</v>
      </c>
      <c r="C57" t="n">
        <v>7.25199999999999889</v>
      </c>
      <c r="D57" t="n">
        <v>0.475</v>
      </c>
      <c r="E57" t="n">
        <v>0.187000000000000011</v>
      </c>
      <c r="F57" t="n">
        <v>0.413999999999999968</v>
      </c>
      <c r="G57" t="n">
        <v>0.374000000000000021</v>
      </c>
      <c r="H57" t="n">
        <v>0.0729999999999999982</v>
      </c>
      <c r="I57" t="s">
        <v>86</v>
      </c>
      <c r="J57">
        <f>MAX(2.644,2.496)</f>
        <v>2.64400000000000013</v>
      </c>
      <c r="K57">
        <f>MAX(1.547,1.395)</f>
        <v>1.54699999999999989</v>
      </c>
      <c r="L57" t="n">
        <v>0.102000000000000002</v>
      </c>
      <c r="M57" t="s">
        <v>86</v>
      </c>
      <c r="N57" t="s">
        <v>86</v>
      </c>
      <c r="O57" t="s">
        <v>86</v>
      </c>
      <c r="P57" t="s">
        <v>86</v>
      </c>
      <c r="Q57" t="s">
        <v>178</v>
      </c>
      <c r="R57" t="s">
        <v>86</v>
      </c>
      <c r="S57" t="s">
        <v>86</v>
      </c>
      <c r="T57" t="s">
        <v>86</v>
      </c>
      <c r="U57" t="s">
        <v>86</v>
      </c>
      <c r="V57" t="s">
        <v>86</v>
      </c>
    </row>
    <row r="58" spans="1:22" ht="16.50" customHeight="1">
      <c r="A58" t="n">
        <v>2005</v>
      </c>
      <c r="B58" t="s">
        <v>181</v>
      </c>
      <c r="C58" t="n">
        <v>9.79299999999999926</v>
      </c>
      <c r="D58" t="n">
        <v>0.839000000000000057</v>
      </c>
      <c r="E58" t="n">
        <v>0.165000000000000018</v>
      </c>
      <c r="F58" t="n">
        <v>0.434999999999999964</v>
      </c>
      <c r="G58" t="n">
        <v>0.679000000000000181</v>
      </c>
      <c r="H58" t="n">
        <v>0.0670000000000000018</v>
      </c>
      <c r="I58" t="s">
        <v>86</v>
      </c>
      <c r="J58">
        <f>MAX(4.077,4.19)</f>
        <v>4.19000000000000039</v>
      </c>
      <c r="K58" t="n">
        <v>1.84499999999999993</v>
      </c>
      <c r="L58" t="n">
        <v>0.0840000000000000036</v>
      </c>
      <c r="M58" t="s">
        <v>86</v>
      </c>
      <c r="N58" t="s">
        <v>86</v>
      </c>
      <c r="O58" t="s">
        <v>86</v>
      </c>
      <c r="P58" t="s">
        <v>86</v>
      </c>
      <c r="Q58" t="s">
        <v>178</v>
      </c>
      <c r="R58" t="s">
        <v>86</v>
      </c>
      <c r="S58" t="s">
        <v>86</v>
      </c>
      <c r="T58" t="s">
        <v>86</v>
      </c>
      <c r="U58" t="s">
        <v>86</v>
      </c>
      <c r="V58" t="s">
        <v>86</v>
      </c>
    </row>
    <row r="59" spans="2:22" ht="15.75" customHeight="1">
      <c r="B59" t="s">
        <v>182</v>
      </c>
      <c r="C59" t="n">
        <v>20.4200000000000017</v>
      </c>
      <c r="D59" t="s">
        <v>86</v>
      </c>
      <c r="E59" t="s">
        <v>86</v>
      </c>
      <c r="F59" t="s">
        <v>86</v>
      </c>
      <c r="G59" t="s">
        <v>86</v>
      </c>
      <c r="H59" t="s">
        <v>86</v>
      </c>
      <c r="I59" t="s">
        <v>86</v>
      </c>
      <c r="J59" t="n">
        <v>13.9200000000000017</v>
      </c>
      <c r="K59" t="n">
        <v>7.91999999999999993</v>
      </c>
      <c r="L59" t="s">
        <v>86</v>
      </c>
      <c r="M59" t="s">
        <v>86</v>
      </c>
      <c r="N59" t="s">
        <v>86</v>
      </c>
      <c r="O59" t="s">
        <v>86</v>
      </c>
      <c r="P59" t="s">
        <v>86</v>
      </c>
      <c r="Q59" t="s">
        <v>183</v>
      </c>
      <c r="R59" t="s">
        <v>86</v>
      </c>
      <c r="S59" t="s">
        <v>86</v>
      </c>
      <c r="T59" t="s">
        <v>86</v>
      </c>
      <c r="U59" t="s">
        <v>86</v>
      </c>
      <c r="V59" t="s">
        <v>86</v>
      </c>
    </row>
    <row r="60" spans="2:22" ht="15.75" customHeight="1">
      <c r="B60" t="s">
        <v>184</v>
      </c>
      <c r="C60" t="n">
        <v>18.9600000000000009</v>
      </c>
      <c r="D60" t="s">
        <v>86</v>
      </c>
      <c r="E60" t="s">
        <v>86</v>
      </c>
      <c r="F60" t="s">
        <v>86</v>
      </c>
      <c r="G60" t="s">
        <v>86</v>
      </c>
      <c r="H60" t="s">
        <v>86</v>
      </c>
      <c r="I60" t="s">
        <v>86</v>
      </c>
      <c r="J60" t="n">
        <v>15</v>
      </c>
      <c r="K60" t="n">
        <v>8.30000000000000071</v>
      </c>
      <c r="L60" t="s">
        <v>86</v>
      </c>
      <c r="M60" t="s">
        <v>86</v>
      </c>
      <c r="N60" t="s">
        <v>86</v>
      </c>
      <c r="O60" t="s">
        <v>86</v>
      </c>
      <c r="P60" t="s">
        <v>86</v>
      </c>
      <c r="Q60" t="s">
        <v>183</v>
      </c>
      <c r="R60" t="s">
        <v>86</v>
      </c>
      <c r="S60" t="s">
        <v>86</v>
      </c>
      <c r="T60" t="s">
        <v>86</v>
      </c>
      <c r="U60" t="s">
        <v>86</v>
      </c>
      <c r="V60" t="s">
        <v>86</v>
      </c>
    </row>
    <row r="61" spans="2:22" ht="15.75" customHeight="1">
      <c r="B61" t="s">
        <v>185</v>
      </c>
      <c r="C61" t="n">
        <v>12.8800000000000008</v>
      </c>
      <c r="D61" t="s">
        <v>86</v>
      </c>
      <c r="E61" t="s">
        <v>86</v>
      </c>
      <c r="F61" t="s">
        <v>86</v>
      </c>
      <c r="G61" t="s">
        <v>86</v>
      </c>
      <c r="H61" t="s">
        <v>86</v>
      </c>
      <c r="I61" t="s">
        <v>86</v>
      </c>
      <c r="J61" t="n">
        <v>9.80000000000000071</v>
      </c>
      <c r="K61" t="n">
        <v>5.92999999999999972</v>
      </c>
      <c r="L61" t="s">
        <v>86</v>
      </c>
      <c r="M61" t="s">
        <v>86</v>
      </c>
      <c r="N61" t="s">
        <v>86</v>
      </c>
      <c r="O61" t="s">
        <v>86</v>
      </c>
      <c r="P61" t="s">
        <v>86</v>
      </c>
      <c r="Q61" t="s">
        <v>183</v>
      </c>
      <c r="R61" t="s">
        <v>86</v>
      </c>
      <c r="S61" t="s">
        <v>86</v>
      </c>
      <c r="T61" t="s">
        <v>86</v>
      </c>
      <c r="U61" t="s">
        <v>86</v>
      </c>
      <c r="V61" t="s">
        <v>86</v>
      </c>
    </row>
    <row r="62" spans="2:22" ht="15.75" customHeight="1">
      <c r="B62" t="s">
        <v>186</v>
      </c>
      <c r="C62" t="n">
        <v>15.5</v>
      </c>
      <c r="D62" t="s">
        <v>86</v>
      </c>
      <c r="E62" t="s">
        <v>86</v>
      </c>
      <c r="F62" t="s">
        <v>86</v>
      </c>
      <c r="G62" t="s">
        <v>86</v>
      </c>
      <c r="H62" t="s">
        <v>86</v>
      </c>
      <c r="I62" t="s">
        <v>86</v>
      </c>
      <c r="J62" t="n">
        <v>8.5600000000000005</v>
      </c>
      <c r="K62" t="n">
        <v>3.95000000000000018</v>
      </c>
      <c r="L62" t="s">
        <v>86</v>
      </c>
      <c r="M62" t="s">
        <v>86</v>
      </c>
      <c r="N62" t="s">
        <v>86</v>
      </c>
      <c r="O62" t="s">
        <v>86</v>
      </c>
      <c r="P62" t="s">
        <v>86</v>
      </c>
      <c r="Q62" t="s">
        <v>183</v>
      </c>
      <c r="R62" t="s">
        <v>86</v>
      </c>
      <c r="S62" t="s">
        <v>86</v>
      </c>
      <c r="T62" t="s">
        <v>86</v>
      </c>
      <c r="U62" t="s">
        <v>86</v>
      </c>
      <c r="V62" t="s">
        <v>86</v>
      </c>
    </row>
    <row r="63" spans="2:22" ht="15.75" customHeight="1">
      <c r="B63" t="s">
        <v>187</v>
      </c>
      <c r="C63" t="n">
        <v>15.6199999999999992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n">
        <v>9.16000000000000014</v>
      </c>
      <c r="K63" t="n">
        <v>5.42999999999999972</v>
      </c>
      <c r="L63" t="s">
        <v>86</v>
      </c>
      <c r="M63" t="s">
        <v>86</v>
      </c>
      <c r="N63" t="s">
        <v>86</v>
      </c>
      <c r="O63" t="s">
        <v>86</v>
      </c>
      <c r="P63" t="s">
        <v>86</v>
      </c>
      <c r="Q63" t="s">
        <v>188</v>
      </c>
      <c r="R63" t="s">
        <v>86</v>
      </c>
      <c r="S63" t="s">
        <v>86</v>
      </c>
      <c r="T63" t="s">
        <v>86</v>
      </c>
      <c r="U63" t="s">
        <v>86</v>
      </c>
      <c r="V63" t="s">
        <v>86</v>
      </c>
    </row>
    <row r="64" spans="2:22" ht="15.75" customHeight="1">
      <c r="B64" t="s">
        <v>189</v>
      </c>
      <c r="C64" t="n">
        <v>14.8499999999999996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n">
        <v>8.58999999999999986</v>
      </c>
      <c r="K64" t="n">
        <v>4.63999999999999968</v>
      </c>
      <c r="L64" t="s">
        <v>86</v>
      </c>
      <c r="M64" t="s">
        <v>86</v>
      </c>
      <c r="N64" t="s">
        <v>86</v>
      </c>
      <c r="O64" t="s">
        <v>86</v>
      </c>
      <c r="P64" t="s">
        <v>86</v>
      </c>
      <c r="Q64" t="s">
        <v>188</v>
      </c>
      <c r="R64" t="s">
        <v>86</v>
      </c>
      <c r="S64" t="s">
        <v>86</v>
      </c>
      <c r="T64" t="s">
        <v>86</v>
      </c>
      <c r="U64" t="s">
        <v>86</v>
      </c>
      <c r="V64" t="s">
        <v>86</v>
      </c>
    </row>
    <row r="65" spans="2:22" ht="15.75" customHeight="1">
      <c r="B65" t="s">
        <v>190</v>
      </c>
      <c r="C65" t="n">
        <v>13.2599999999999998</v>
      </c>
      <c r="D65" t="s">
        <v>86</v>
      </c>
      <c r="E65" t="s">
        <v>86</v>
      </c>
      <c r="F65" t="s">
        <v>86</v>
      </c>
      <c r="G65" t="s">
        <v>86</v>
      </c>
      <c r="H65" t="s">
        <v>86</v>
      </c>
      <c r="I65" t="s">
        <v>86</v>
      </c>
      <c r="J65" t="n">
        <v>8.50999999999999801</v>
      </c>
      <c r="K65" t="n">
        <v>4.45000000000000018</v>
      </c>
      <c r="L65" t="s">
        <v>86</v>
      </c>
      <c r="M65" t="s">
        <v>86</v>
      </c>
      <c r="N65" t="s">
        <v>86</v>
      </c>
      <c r="O65" t="s">
        <v>86</v>
      </c>
      <c r="P65" t="s">
        <v>86</v>
      </c>
      <c r="Q65" t="s">
        <v>188</v>
      </c>
      <c r="R65" t="s">
        <v>86</v>
      </c>
      <c r="S65" t="s">
        <v>86</v>
      </c>
      <c r="T65" t="s">
        <v>86</v>
      </c>
      <c r="U65" t="s">
        <v>86</v>
      </c>
      <c r="V65" t="s">
        <v>86</v>
      </c>
    </row>
    <row r="66" spans="2:22" ht="15.75" customHeight="1">
      <c r="B66" t="s">
        <v>191</v>
      </c>
      <c r="C66" t="n">
        <v>15.3200000000000003</v>
      </c>
      <c r="D66" t="s">
        <v>86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n">
        <v>7.84999999999999876</v>
      </c>
      <c r="K66" t="n">
        <v>4.62999999999999989</v>
      </c>
      <c r="L66" t="s">
        <v>86</v>
      </c>
      <c r="M66" t="s">
        <v>86</v>
      </c>
      <c r="N66" t="s">
        <v>86</v>
      </c>
      <c r="O66" t="s">
        <v>86</v>
      </c>
      <c r="P66" t="s">
        <v>86</v>
      </c>
      <c r="Q66" t="s">
        <v>188</v>
      </c>
      <c r="R66" t="s">
        <v>86</v>
      </c>
      <c r="S66" t="s">
        <v>86</v>
      </c>
      <c r="T66" t="s">
        <v>86</v>
      </c>
      <c r="U66" t="s">
        <v>86</v>
      </c>
      <c r="V66" t="s">
        <v>86</v>
      </c>
    </row>
    <row r="67" spans="2:22" ht="15.75" customHeight="1">
      <c r="B67" t="s">
        <v>192</v>
      </c>
      <c r="C67" t="n">
        <v>12.8000000000000007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n">
        <v>7.16000000000000014</v>
      </c>
      <c r="K67" t="n">
        <v>3.18000000000000016</v>
      </c>
      <c r="L67" t="s">
        <v>86</v>
      </c>
      <c r="M67" t="s">
        <v>86</v>
      </c>
      <c r="N67" t="s">
        <v>86</v>
      </c>
      <c r="O67" t="s">
        <v>86</v>
      </c>
      <c r="P67" t="s">
        <v>86</v>
      </c>
      <c r="Q67" t="s">
        <v>188</v>
      </c>
      <c r="R67" t="s">
        <v>86</v>
      </c>
      <c r="S67" t="s">
        <v>86</v>
      </c>
      <c r="T67" t="s">
        <v>86</v>
      </c>
      <c r="U67" t="s">
        <v>86</v>
      </c>
      <c r="V67" t="s">
        <v>86</v>
      </c>
    </row>
  </sheetData>
  <mergeCells count="1">
    <mergeCell ref="A1:W1"/>
  </mergeCells>
  <printOptions>
    <extLst>
      <ext uri="smNativeData">
        <pm:pageFlags xmlns:pm="smNativeData" id="1789706791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89706791" l="56" r="56" t="56" b="56" borderId="0" fillId="0" vertical="0"/>
        <pm:footer xmlns:pm="smNativeData" id="1789706791" l="56" r="56" t="56" b="56" borderId="0" fillId="0" vertical="2"/>
      </ext>
    </extLst>
  </headerFooter>
  <extLst>
    <ext uri="smNativeData">
      <pm:sheetPrefs xmlns:pm="smNativeData" day="178970679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Right="0" summaryBelow="0"/>
  </sheetPr>
  <dimension ref="A1:M1002"/>
  <sheetViews>
    <sheetView view="normal" workbookViewId="0">
      <selection activeCell="C6" sqref="C6"/>
    </sheetView>
  </sheetViews>
  <sheetFormatPr baseColWidth="11" defaultColWidth="12.630631" defaultRowHeight="15.75" customHeight="1"/>
  <cols>
    <col min="1" max="1" width="31.747748" customWidth="1"/>
    <col min="2" max="2" width="7.378378" customWidth="1"/>
    <col min="3" max="3" width="6.747748" customWidth="1"/>
    <col min="4" max="4" width="4.252252" customWidth="1"/>
    <col min="13" max="13" width="14.252252" customWidth="1"/>
  </cols>
  <sheetData>
    <row r="1" spans="1:13" ht="48.75" customHeight="1">
      <c r="A1" s="63" t="s">
        <v>193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15.75" customHeight="1">
      <c r="A2" s="56"/>
      <c r="B2" s="56"/>
      <c r="C2" s="56"/>
      <c r="D2" s="57"/>
      <c r="E2" s="56"/>
      <c r="F2" s="56"/>
      <c r="G2" s="56"/>
      <c r="H2" s="56"/>
      <c r="I2" s="56"/>
      <c r="J2" s="56"/>
      <c r="K2" s="56"/>
      <c r="L2" s="56"/>
      <c r="M2" s="56"/>
    </row>
    <row r="3" spans="1:13" ht="15.75" customHeight="1">
      <c r="A3" s="56" t="s">
        <v>194</v>
      </c>
      <c r="B3" s="56" t="s">
        <v>195</v>
      </c>
      <c r="C3" s="56" t="s">
        <v>196</v>
      </c>
      <c r="D3" s="57" t="s">
        <v>197</v>
      </c>
      <c r="E3" s="56" t="s">
        <v>198</v>
      </c>
      <c r="F3" s="56" t="s">
        <v>199</v>
      </c>
      <c r="G3" s="56" t="s">
        <v>200</v>
      </c>
      <c r="H3" s="56" t="s">
        <v>201</v>
      </c>
      <c r="I3" s="56" t="s">
        <v>202</v>
      </c>
      <c r="J3" s="56" t="s">
        <v>203</v>
      </c>
      <c r="K3" s="56" t="s">
        <v>204</v>
      </c>
      <c r="L3" s="56" t="s">
        <v>205</v>
      </c>
      <c r="M3" s="56" t="s">
        <v>206</v>
      </c>
    </row>
    <row r="4" spans="1:13" ht="15.75" customHeight="1">
      <c r="A4" s="56" t="s">
        <v>207</v>
      </c>
      <c r="B4" s="56" t="s">
        <v>208</v>
      </c>
      <c r="C4" s="9" t="n">
        <v>1.17999999999999994</v>
      </c>
      <c r="D4" s="57" t="s">
        <v>86</v>
      </c>
      <c r="E4" s="9" t="n">
        <v>2.58534249533476013</v>
      </c>
      <c r="F4" s="9" t="n">
        <v>10.4662008643862006</v>
      </c>
      <c r="G4" s="9" t="n">
        <v>0.269561562892480033</v>
      </c>
      <c r="H4" s="9" t="n">
        <v>1.87852712100958978</v>
      </c>
      <c r="I4" s="56" t="s">
        <v>86</v>
      </c>
      <c r="J4" s="56" t="s">
        <v>86</v>
      </c>
      <c r="K4" s="9" t="n">
        <v>0.0257554356528479023</v>
      </c>
      <c r="L4" s="56" t="s">
        <v>86</v>
      </c>
      <c r="M4" s="56" t="s">
        <v>86</v>
      </c>
    </row>
    <row r="5" spans="1:13" ht="15.75" customHeight="1">
      <c r="A5" s="56" t="s">
        <v>209</v>
      </c>
      <c r="B5" s="56" t="s">
        <v>208</v>
      </c>
      <c r="C5" s="9" t="n">
        <v>1.17999999999999994</v>
      </c>
      <c r="D5" s="58" t="n">
        <v>6.00111195652629981</v>
      </c>
      <c r="E5" s="9" t="n">
        <v>2.57643928192846028</v>
      </c>
      <c r="F5" s="9" t="n">
        <v>11.9995594428418002</v>
      </c>
      <c r="G5" s="9" t="n">
        <v>1.08465678936159016</v>
      </c>
      <c r="H5" s="9" t="n">
        <v>1.9497151373700401</v>
      </c>
      <c r="I5" s="9" t="n">
        <v>61.0260166487171105</v>
      </c>
      <c r="J5" s="9" t="n">
        <v>3.95489731900554951</v>
      </c>
      <c r="K5" s="9" t="n">
        <v>0.0903913843277496731</v>
      </c>
      <c r="L5" s="9" t="n">
        <v>0.0648067420452993037</v>
      </c>
      <c r="M5" s="56" t="s">
        <v>210</v>
      </c>
    </row>
    <row r="6" spans="1:13" ht="15.75" customHeight="1">
      <c r="A6" s="56" t="s">
        <v>211</v>
      </c>
      <c r="B6" s="56" t="s">
        <v>208</v>
      </c>
      <c r="C6" s="9" t="n">
        <v>1.17999999999999994</v>
      </c>
      <c r="D6" s="58" t="n">
        <v>5.8595536624939113</v>
      </c>
      <c r="E6" s="9" t="n">
        <v>6.48038559059510888</v>
      </c>
      <c r="F6" s="9" t="n">
        <v>12.0568964262140952</v>
      </c>
      <c r="G6" s="9" t="n">
        <v>0.897618241929840011</v>
      </c>
      <c r="H6" s="9" t="n">
        <v>1.91277066650376</v>
      </c>
      <c r="I6" s="9" t="n">
        <v>59.8712132309600022</v>
      </c>
      <c r="J6" s="9" t="n">
        <v>5.04962715383921967</v>
      </c>
      <c r="K6" s="9" t="n">
        <v>0.0744485322091875101</v>
      </c>
      <c r="L6" s="9" t="n">
        <v>0.0843414870241516113</v>
      </c>
      <c r="M6" s="56" t="s">
        <v>210</v>
      </c>
    </row>
    <row r="7" spans="1:13" ht="15.75" customHeight="1">
      <c r="A7" s="56" t="s">
        <v>212</v>
      </c>
      <c r="B7" s="56" t="s">
        <v>208</v>
      </c>
      <c r="C7" s="9" t="n">
        <v>1.17999999999999994</v>
      </c>
      <c r="D7" s="58" t="n">
        <v>6.24948612714236074</v>
      </c>
      <c r="E7" s="9" t="n">
        <v>4.29816440239224917</v>
      </c>
      <c r="F7" s="9" t="n">
        <v>11.5429049192027993</v>
      </c>
      <c r="G7" s="9" t="n">
        <v>0.311698838257128008</v>
      </c>
      <c r="H7" s="9" t="n">
        <v>1.92985787875579007</v>
      </c>
      <c r="I7" s="9" t="n">
        <v>61.1332408131194001</v>
      </c>
      <c r="J7" s="9" t="n">
        <v>3.78025265473876981</v>
      </c>
      <c r="K7" s="9" t="n">
        <v>0.0270035004566820014</v>
      </c>
      <c r="L7" s="9" t="n">
        <v>0.0618362875001960965</v>
      </c>
      <c r="M7" s="56" t="s">
        <v>210</v>
      </c>
    </row>
    <row r="8" spans="1:13" ht="15.75" customHeight="1">
      <c r="A8" s="56" t="s">
        <v>213</v>
      </c>
      <c r="B8" s="56" t="s">
        <v>208</v>
      </c>
      <c r="C8" s="9" t="n">
        <v>1.17999999999999994</v>
      </c>
      <c r="D8" s="58" t="n">
        <v>6.36891120696681945</v>
      </c>
      <c r="E8" s="9" t="n">
        <v>3.34744151871703988</v>
      </c>
      <c r="F8" s="9" t="n">
        <v>11.5644040359507994</v>
      </c>
      <c r="G8" s="9" t="n">
        <v>1.02566933204480004</v>
      </c>
      <c r="H8" s="9" t="n">
        <v>1.95008907753509</v>
      </c>
      <c r="I8" s="9" t="n">
        <v>62.4175105647963022</v>
      </c>
      <c r="J8" s="9" t="n">
        <v>3.13915077224161987</v>
      </c>
      <c r="K8" s="9" t="n">
        <v>0.0886919316253781176</v>
      </c>
      <c r="L8" s="9" t="n">
        <v>0.0502927903377823959</v>
      </c>
      <c r="M8" s="56" t="s">
        <v>210</v>
      </c>
    </row>
    <row r="9" spans="1:13" ht="15.75" customHeight="1">
      <c r="A9" s="56" t="s">
        <v>214</v>
      </c>
      <c r="B9" s="56" t="s">
        <v>208</v>
      </c>
      <c r="C9" s="9" t="n">
        <v>1.17999999999999994</v>
      </c>
      <c r="D9" s="58" t="n">
        <v>6.4555629677513604</v>
      </c>
      <c r="E9" s="9" t="n">
        <v>8.79692691211269917</v>
      </c>
      <c r="F9" s="9" t="n">
        <v>10.9832843992197997</v>
      </c>
      <c r="G9" s="9" t="n">
        <v>0.348979519016105044</v>
      </c>
      <c r="H9" s="9" t="n">
        <v>2.02489975593335014</v>
      </c>
      <c r="I9" s="9" t="n">
        <v>60.0875288405799921</v>
      </c>
      <c r="J9" s="9" t="n">
        <v>3.7398462223301201</v>
      </c>
      <c r="K9" s="9" t="n">
        <v>0.031773694127495804</v>
      </c>
      <c r="L9" s="9" t="n">
        <v>0.0622399738263893987</v>
      </c>
      <c r="M9" s="56" t="s">
        <v>210</v>
      </c>
    </row>
    <row r="10" spans="1:13" ht="15.75" customHeight="1">
      <c r="A10" s="56" t="s">
        <v>215</v>
      </c>
      <c r="B10" s="56" t="s">
        <v>208</v>
      </c>
      <c r="C10" s="9" t="n">
        <v>1.17999999999999994</v>
      </c>
      <c r="D10" s="58" t="n">
        <v>5.93960409490047958</v>
      </c>
      <c r="E10" s="9" t="n">
        <v>2.06222519102110002</v>
      </c>
      <c r="F10" s="9" t="n">
        <v>12.2853364589032008</v>
      </c>
      <c r="G10" s="9" t="n">
        <v>1.08914498909851032</v>
      </c>
      <c r="H10" s="9" t="n">
        <v>1.84599894185005002</v>
      </c>
      <c r="I10" s="9" t="n">
        <v>61.8390124902808864</v>
      </c>
      <c r="J10" s="9" t="n">
        <v>3.73174112670282954</v>
      </c>
      <c r="K10" s="9" t="n">
        <v>0.0886540627309562801</v>
      </c>
      <c r="L10" s="9" t="n">
        <v>0.060346065961019999</v>
      </c>
      <c r="M10" s="56" t="s">
        <v>210</v>
      </c>
    </row>
    <row r="11" spans="1:13" ht="15.75" customHeight="1">
      <c r="A11" s="56" t="s">
        <v>216</v>
      </c>
      <c r="B11" s="56" t="s">
        <v>208</v>
      </c>
      <c r="C11" s="9" t="n">
        <v>1.17999999999999994</v>
      </c>
      <c r="D11" s="58" t="n">
        <v>6.33794462627408883</v>
      </c>
      <c r="E11" s="9" t="n">
        <v>1.6321272537934302</v>
      </c>
      <c r="F11" s="9" t="n">
        <v>11.3572694306268005</v>
      </c>
      <c r="G11" s="9" t="n">
        <v>0.974564997702247027</v>
      </c>
      <c r="H11" s="9" t="n">
        <v>1.87294486479548965</v>
      </c>
      <c r="I11" s="9" t="n">
        <v>61.001478607616896</v>
      </c>
      <c r="J11" s="9" t="n">
        <v>3.7613426084817001</v>
      </c>
      <c r="K11" s="9" t="n">
        <v>0.0858097981786159103</v>
      </c>
      <c r="L11" s="9" t="n">
        <v>0.0616598596351408013</v>
      </c>
      <c r="M11" s="56" t="s">
        <v>210</v>
      </c>
    </row>
    <row r="12" spans="1:13" ht="15.75" customHeight="1">
      <c r="A12" s="56" t="s">
        <v>217</v>
      </c>
      <c r="B12" s="56" t="s">
        <v>208</v>
      </c>
      <c r="C12" s="9" t="n">
        <v>1.17999999999999994</v>
      </c>
      <c r="D12" s="58" t="n">
        <v>5.86500483079298984</v>
      </c>
      <c r="E12" s="59" t="n">
        <v>1.381872776694380105E+34</v>
      </c>
      <c r="F12" s="9" t="n">
        <v>11.7625104937025</v>
      </c>
      <c r="G12" s="9" t="n">
        <v>0.964386518158906902</v>
      </c>
      <c r="H12" s="9" t="n">
        <v>1.97082119040568937</v>
      </c>
      <c r="I12" s="9" t="n">
        <v>58.4637125998461968</v>
      </c>
      <c r="J12" s="9" t="n">
        <v>5.01240347945261</v>
      </c>
      <c r="K12" s="9" t="n">
        <v>0.0819881536917841913</v>
      </c>
      <c r="L12" s="9" t="n">
        <v>0.085735292141980679</v>
      </c>
      <c r="M12" s="56" t="s">
        <v>210</v>
      </c>
    </row>
    <row r="13" spans="1:13" ht="15.75" customHeight="1">
      <c r="A13" s="56" t="s">
        <v>218</v>
      </c>
      <c r="B13" s="56" t="s">
        <v>208</v>
      </c>
      <c r="C13" s="9" t="n">
        <v>1.17999999999999994</v>
      </c>
      <c r="D13" s="58" t="n">
        <v>5.83722744623290968</v>
      </c>
      <c r="E13" s="59" t="n">
        <v>1.076996787614070034E+39</v>
      </c>
      <c r="F13" s="9" t="n">
        <v>11.8200854141051011</v>
      </c>
      <c r="G13" s="9" t="n">
        <v>0.980401846631500895</v>
      </c>
      <c r="H13" s="9" t="n">
        <v>1.79113108417556006</v>
      </c>
      <c r="I13" s="9" t="n">
        <v>58.4716330474845947</v>
      </c>
      <c r="J13" s="9" t="n">
        <v>5.07367058726544951</v>
      </c>
      <c r="K13" s="9" t="n">
        <v>0.0829437192950879876</v>
      </c>
      <c r="L13" s="9" t="n">
        <v>0.0867714876912217647</v>
      </c>
      <c r="M13" s="56" t="s">
        <v>210</v>
      </c>
    </row>
    <row r="14" spans="1:13" ht="15.75" customHeight="1">
      <c r="A14" s="56" t="s">
        <v>219</v>
      </c>
      <c r="B14" s="56" t="s">
        <v>208</v>
      </c>
      <c r="C14" s="9" t="n">
        <v>1.17999999999999994</v>
      </c>
      <c r="D14" s="58" t="n">
        <v>5.8564185001678597</v>
      </c>
      <c r="E14" s="9" t="n">
        <v>1.7030018330103398</v>
      </c>
      <c r="F14" s="9" t="n">
        <v>12.0903248122652993</v>
      </c>
      <c r="G14" s="9" t="n">
        <v>1.47738470679427998</v>
      </c>
      <c r="H14" s="9" t="n">
        <v>1.94428540001278005</v>
      </c>
      <c r="I14" s="9" t="n">
        <v>60.0050863589740047</v>
      </c>
      <c r="J14" s="9" t="n">
        <v>4.85019116329012956</v>
      </c>
      <c r="K14" s="9" t="n">
        <v>0.122195617548299018</v>
      </c>
      <c r="L14" s="9" t="n">
        <v>0.0808296672431131213</v>
      </c>
      <c r="M14" s="56" t="s">
        <v>210</v>
      </c>
    </row>
    <row r="15" spans="1:13" ht="15.75" customHeight="1">
      <c r="A15" s="56" t="s">
        <v>220</v>
      </c>
      <c r="B15" s="56" t="s">
        <v>208</v>
      </c>
      <c r="C15" s="9" t="n">
        <v>1.17999999999999994</v>
      </c>
      <c r="D15" s="58" t="n">
        <v>5.8728347708192894</v>
      </c>
      <c r="E15" s="9" t="n">
        <v>1.66725668898407005</v>
      </c>
      <c r="F15" s="9" t="n">
        <v>12.0557578108011008</v>
      </c>
      <c r="G15" s="9" t="n">
        <v>1.50672194327457003</v>
      </c>
      <c r="H15" s="9" t="n">
        <v>1.95103041457815003</v>
      </c>
      <c r="I15" s="9" t="n">
        <v>60.0012488642788</v>
      </c>
      <c r="J15" s="9" t="n">
        <v>4.85267631520590026</v>
      </c>
      <c r="K15" s="9" t="n">
        <v>0.12497944690997802</v>
      </c>
      <c r="L15" s="9" t="n">
        <v>0.0808762551956631093</v>
      </c>
      <c r="M15" s="56" t="s">
        <v>210</v>
      </c>
    </row>
    <row r="16" spans="1:13" ht="15.75" customHeight="1">
      <c r="A16" s="56" t="s">
        <v>221</v>
      </c>
      <c r="B16" s="56" t="s">
        <v>208</v>
      </c>
      <c r="C16" s="9" t="n">
        <v>1.17999999999999994</v>
      </c>
      <c r="D16" s="58" t="n">
        <v>6.46576835008784023</v>
      </c>
      <c r="E16" s="9" t="n">
        <v>2.67805691787311018</v>
      </c>
      <c r="F16" s="9" t="n">
        <v>11.0921393229120984</v>
      </c>
      <c r="G16" s="9" t="n">
        <v>1.11254736962228007</v>
      </c>
      <c r="H16" s="9" t="n">
        <v>1.90445204791392939</v>
      </c>
      <c r="I16" s="9" t="n">
        <v>60.7789859058046957</v>
      </c>
      <c r="J16" s="9" t="n">
        <v>3.92316933942760961</v>
      </c>
      <c r="K16" s="9" t="n">
        <v>0.10030052249021002</v>
      </c>
      <c r="L16" s="9" t="n">
        <v>0.0645481210480831091</v>
      </c>
      <c r="M16" s="56" t="s">
        <v>210</v>
      </c>
    </row>
    <row r="17" spans="1:13" ht="15.75" customHeight="1">
      <c r="A17" s="56" t="s">
        <v>222</v>
      </c>
      <c r="B17" s="56" t="s">
        <v>208</v>
      </c>
      <c r="C17" s="9" t="n">
        <v>1.17999999999999994</v>
      </c>
      <c r="D17" s="58" t="n">
        <v>6.46176060127443996</v>
      </c>
      <c r="E17" s="9" t="n">
        <v>2.68044695160452973</v>
      </c>
      <c r="F17" s="9" t="n">
        <v>11.0989838434612995</v>
      </c>
      <c r="G17" s="9" t="n">
        <v>1.10155259343159018</v>
      </c>
      <c r="H17" s="9" t="n">
        <v>1.90606526440259039</v>
      </c>
      <c r="I17" s="9" t="n">
        <v>60.7787936558133026</v>
      </c>
      <c r="J17" s="9" t="n">
        <v>3.9235989376016601</v>
      </c>
      <c r="K17" s="9" t="n">
        <v>0.0992480581076391033</v>
      </c>
      <c r="L17" s="9" t="n">
        <v>0.0645553934456280043</v>
      </c>
      <c r="M17" s="56" t="s">
        <v>210</v>
      </c>
    </row>
    <row r="18" spans="1:13" ht="15.75" customHeight="1">
      <c r="A18" s="56" t="s">
        <v>223</v>
      </c>
      <c r="B18" s="56" t="s">
        <v>208</v>
      </c>
      <c r="C18" s="9" t="n">
        <v>1.17999999999999994</v>
      </c>
      <c r="D18" s="58" t="n">
        <v>5.24173553665746006</v>
      </c>
      <c r="E18" s="9" t="n">
        <v>1.35441665941868994</v>
      </c>
      <c r="F18" s="9" t="n">
        <v>12.044135214789101</v>
      </c>
      <c r="G18" s="9" t="n">
        <v>1.63880197385495023</v>
      </c>
      <c r="H18" s="9" t="n">
        <v>1.88711118103499018</v>
      </c>
      <c r="I18" s="9" t="n">
        <v>53.5018403081929961</v>
      </c>
      <c r="J18" s="9" t="n">
        <v>3.40557111889371011</v>
      </c>
      <c r="K18" s="9" t="n">
        <v>0.136066387883343998</v>
      </c>
      <c r="L18" s="9" t="n">
        <v>0.0636533453667422844</v>
      </c>
      <c r="M18" s="56" t="s">
        <v>224</v>
      </c>
    </row>
    <row r="19" spans="1:13" ht="15.75" customHeight="1">
      <c r="A19" s="56" t="s">
        <v>225</v>
      </c>
      <c r="B19" s="56" t="s">
        <v>208</v>
      </c>
      <c r="C19" s="9" t="n">
        <v>1.17999999999999994</v>
      </c>
      <c r="D19" s="58" t="n">
        <v>5.40819310422464916</v>
      </c>
      <c r="E19" s="9" t="n">
        <v>1.96653810397677002</v>
      </c>
      <c r="F19" s="9" t="n">
        <v>11.3422441091179014</v>
      </c>
      <c r="G19" s="9" t="n">
        <v>0.443828852073233016</v>
      </c>
      <c r="H19" s="9" t="n">
        <v>1.8673775844309402</v>
      </c>
      <c r="I19" s="9" t="n">
        <v>51.983937607935502</v>
      </c>
      <c r="J19" s="9" t="n">
        <v>2.76395621267990865</v>
      </c>
      <c r="K19" s="9" t="n">
        <v>0.0391306030626201995</v>
      </c>
      <c r="L19" s="9" t="n">
        <v>0.0531694277091079925</v>
      </c>
      <c r="M19" s="56" t="s">
        <v>224</v>
      </c>
    </row>
    <row r="20" spans="1:13" ht="15.75" customHeight="1">
      <c r="A20" s="56" t="s">
        <v>226</v>
      </c>
      <c r="B20" s="56" t="s">
        <v>208</v>
      </c>
      <c r="C20" s="9" t="n">
        <v>1.17999999999999994</v>
      </c>
      <c r="D20" s="58" t="n">
        <v>6.11487343472172906</v>
      </c>
      <c r="E20" s="56" t="s">
        <v>227</v>
      </c>
      <c r="F20" s="9" t="n">
        <v>10.215894804678701</v>
      </c>
      <c r="G20" s="9" t="n">
        <v>0.574148093349772015</v>
      </c>
      <c r="H20" s="9" t="n">
        <v>2.10676916881299992</v>
      </c>
      <c r="I20" s="9" t="n">
        <v>52.9397489432552959</v>
      </c>
      <c r="J20" s="9" t="n">
        <v>4.25262312633283113</v>
      </c>
      <c r="K20" s="9" t="n">
        <v>0.056201449244252597</v>
      </c>
      <c r="L20" s="9" t="n">
        <v>0.0803294917565834865</v>
      </c>
      <c r="M20" s="56" t="s">
        <v>224</v>
      </c>
    </row>
    <row r="21" spans="1:13" ht="15.75" customHeight="1">
      <c r="A21" s="56" t="s">
        <v>228</v>
      </c>
      <c r="B21" s="56" t="s">
        <v>86</v>
      </c>
      <c r="C21" s="9" t="n">
        <v>1.17999999999999994</v>
      </c>
      <c r="D21" s="57" t="s">
        <v>86</v>
      </c>
      <c r="E21" s="9" t="n">
        <v>3.80221059348958015</v>
      </c>
      <c r="F21" s="9" t="n">
        <v>11.8506183772268994</v>
      </c>
      <c r="G21" s="9" t="n">
        <v>0.57023711577101297</v>
      </c>
      <c r="H21" s="9" t="n">
        <v>1.83038454106729986</v>
      </c>
      <c r="I21" s="9" t="n">
        <v>54.6910941175067009</v>
      </c>
      <c r="J21" s="9" t="n">
        <v>3.48646823435550868</v>
      </c>
      <c r="K21" s="9" t="n">
        <v>0.0481187645757645921</v>
      </c>
      <c r="L21" s="9" t="n">
        <v>0.0637483723924895962</v>
      </c>
      <c r="M21" s="56" t="s">
        <v>224</v>
      </c>
    </row>
    <row r="22" spans="1:13" ht="15.75" customHeight="1">
      <c r="A22" s="56" t="s">
        <v>229</v>
      </c>
      <c r="B22" s="56" t="s">
        <v>208</v>
      </c>
      <c r="C22" s="9" t="n">
        <v>1.17999999999999994</v>
      </c>
      <c r="D22" s="58" t="n">
        <v>6.17514664513605016</v>
      </c>
      <c r="E22" s="9" t="n">
        <v>1.50738017227249959</v>
      </c>
      <c r="F22" s="9" t="n">
        <v>11.9112383474175996</v>
      </c>
      <c r="G22" s="9" t="n">
        <v>1.29441640704851002</v>
      </c>
      <c r="H22" s="9" t="n">
        <v>1.97014724098832001</v>
      </c>
      <c r="I22" s="9" t="n">
        <v>62.3335962037894049</v>
      </c>
      <c r="J22" s="9" t="n">
        <v>4.0139804867292499</v>
      </c>
      <c r="K22" s="9" t="n">
        <v>0.108671858399102007</v>
      </c>
      <c r="L22" s="9" t="n">
        <v>0.0643951373125690729</v>
      </c>
      <c r="M22" s="56" t="s">
        <v>210</v>
      </c>
    </row>
    <row r="23" spans="1:13" ht="15.75" customHeight="1">
      <c r="A23" s="56" t="s">
        <v>230</v>
      </c>
      <c r="B23" s="56" t="s">
        <v>86</v>
      </c>
      <c r="C23" s="9" t="n">
        <v>1.17999999999999994</v>
      </c>
      <c r="D23" s="57" t="s">
        <v>86</v>
      </c>
      <c r="E23" s="9" t="n">
        <v>2.00817196110697971</v>
      </c>
      <c r="F23" s="9" t="n">
        <v>12.3711814775791993</v>
      </c>
      <c r="G23" s="9" t="n">
        <v>0.478419323277705999</v>
      </c>
      <c r="H23" s="9" t="n">
        <v>1.85134078707291998</v>
      </c>
      <c r="I23" s="9" t="n">
        <v>52.8400479720762846</v>
      </c>
      <c r="J23" s="9" t="n">
        <v>8.25061982337268951</v>
      </c>
      <c r="K23" s="9" t="n">
        <v>0.0386720802814801967</v>
      </c>
      <c r="L23" s="9" t="n">
        <v>0.156143306829183999</v>
      </c>
      <c r="M23" s="56" t="s">
        <v>210</v>
      </c>
    </row>
    <row r="24" spans="1:13" ht="15.75" customHeight="1">
      <c r="A24" s="56" t="s">
        <v>231</v>
      </c>
      <c r="B24" s="56" t="s">
        <v>208</v>
      </c>
      <c r="C24" s="9" t="n">
        <v>1.17999999999999994</v>
      </c>
      <c r="D24" s="58" t="n">
        <v>5.85585036329127018</v>
      </c>
      <c r="E24" s="9" t="n">
        <v>2.24969331815744011</v>
      </c>
      <c r="F24" s="9" t="n">
        <v>12.2152456629107</v>
      </c>
      <c r="G24" s="9" t="n">
        <v>0.404394825499784982</v>
      </c>
      <c r="H24" s="9" t="n">
        <v>1.85453838353401999</v>
      </c>
      <c r="I24" s="9" t="n">
        <v>60.619195553260603</v>
      </c>
      <c r="J24" s="9" t="n">
        <v>3.37702728541100949</v>
      </c>
      <c r="K24" s="9" t="n">
        <v>0.0331057464302706883</v>
      </c>
      <c r="L24" s="9" t="n">
        <v>0.0557088766122593082</v>
      </c>
      <c r="M24" s="56" t="s">
        <v>210</v>
      </c>
    </row>
    <row r="25" spans="1:13" ht="15.75" customHeight="1">
      <c r="A25" s="56" t="s">
        <v>232</v>
      </c>
      <c r="B25" s="56" t="s">
        <v>86</v>
      </c>
      <c r="C25" s="9" t="n">
        <v>1.17999999999999994</v>
      </c>
      <c r="D25" s="57" t="s">
        <v>86</v>
      </c>
      <c r="E25" s="9" t="n">
        <v>13.3594102343727013</v>
      </c>
      <c r="F25" s="9" t="n">
        <v>10.4495605442627006</v>
      </c>
      <c r="G25" s="9" t="n">
        <v>0.32153813596296601</v>
      </c>
      <c r="H25" s="9" t="n">
        <v>1.91858425304924012</v>
      </c>
      <c r="I25" s="56" t="s">
        <v>86</v>
      </c>
      <c r="J25" s="56" t="s">
        <v>86</v>
      </c>
      <c r="K25" s="9" t="n">
        <v>0.0307704936108061</v>
      </c>
      <c r="L25" s="56" t="s">
        <v>86</v>
      </c>
      <c r="M25" s="56" t="s">
        <v>86</v>
      </c>
    </row>
    <row r="26" spans="1:13" ht="15.75" customHeight="1">
      <c r="A26" s="56" t="s">
        <v>233</v>
      </c>
      <c r="B26" s="56" t="s">
        <v>208</v>
      </c>
      <c r="C26" s="9" t="n">
        <v>1.17999999999999994</v>
      </c>
      <c r="D26" s="58" t="n">
        <v>3.13797057399504009</v>
      </c>
      <c r="E26" s="9" t="n">
        <v>15.1801267383611993</v>
      </c>
      <c r="F26" s="9" t="n">
        <v>21.7908327446532013</v>
      </c>
      <c r="G26" s="9" t="n">
        <v>0.323453559224828036</v>
      </c>
      <c r="H26" s="9" t="n">
        <v>1.83495705573966017</v>
      </c>
      <c r="I26" s="9" t="n">
        <v>57.9482982504824946</v>
      </c>
      <c r="J26" s="9" t="n">
        <v>3.72549746568200968</v>
      </c>
      <c r="K26" s="9" t="n">
        <v>0.0148435611899316982</v>
      </c>
      <c r="L26" s="9" t="n">
        <v>0.064290023661756015</v>
      </c>
      <c r="M26" s="56" t="s">
        <v>210</v>
      </c>
    </row>
    <row r="27" spans="1:13" ht="15.75" customHeight="1">
      <c r="A27" s="56" t="s">
        <v>234</v>
      </c>
      <c r="B27" s="56" t="s">
        <v>208</v>
      </c>
      <c r="C27" s="9" t="n">
        <v>1.17999999999999994</v>
      </c>
      <c r="D27" s="58" t="n">
        <v>6.1611209117260195</v>
      </c>
      <c r="E27" s="9" t="n">
        <v>3.08368622634510015</v>
      </c>
      <c r="F27" s="9" t="n">
        <v>12.1635015009541991</v>
      </c>
      <c r="G27" s="9" t="n">
        <v>0.403771206204439004</v>
      </c>
      <c r="H27" s="9" t="n">
        <v>2.0570076356132998</v>
      </c>
      <c r="I27" s="9" t="n">
        <v>63.5091554723219076</v>
      </c>
      <c r="J27" s="9" t="n">
        <v>2.99752116076703992</v>
      </c>
      <c r="K27" s="9" t="n">
        <v>0.0331953102626544894</v>
      </c>
      <c r="L27" s="9" t="n">
        <v>0.0471982525743614012</v>
      </c>
      <c r="M27" s="56" t="s">
        <v>210</v>
      </c>
    </row>
    <row r="28" spans="1:13" ht="15.75" customHeight="1">
      <c r="A28" s="56" t="s">
        <v>235</v>
      </c>
      <c r="B28" s="56" t="s">
        <v>208</v>
      </c>
      <c r="C28" s="9" t="n">
        <v>1.17999999999999994</v>
      </c>
      <c r="D28" s="58" t="n">
        <v>6.13631903546780944</v>
      </c>
      <c r="E28" s="9" t="n">
        <v>6.16728938051455966</v>
      </c>
      <c r="F28" s="9" t="n">
        <v>11.7400098077525996</v>
      </c>
      <c r="G28" s="9" t="n">
        <v>0.599379843309106075</v>
      </c>
      <c r="H28" s="9" t="n">
        <v>1.80824110444024893</v>
      </c>
      <c r="I28" s="9" t="n">
        <v>61.051225135500701</v>
      </c>
      <c r="J28" s="9" t="n">
        <v>3.61866601899385998</v>
      </c>
      <c r="K28" s="9" t="n">
        <v>0.0510544584820793013</v>
      </c>
      <c r="L28" s="9" t="n">
        <v>0.0592726191974424133</v>
      </c>
      <c r="M28" s="56" t="s">
        <v>210</v>
      </c>
    </row>
    <row r="29" spans="1:13" ht="15.75" customHeight="1">
      <c r="A29" s="56" t="s">
        <v>236</v>
      </c>
      <c r="B29" s="56" t="s">
        <v>208</v>
      </c>
      <c r="C29" s="9" t="n">
        <v>1.17999999999999994</v>
      </c>
      <c r="D29" s="58" t="n">
        <v>5.6761943911586199</v>
      </c>
      <c r="E29" s="9" t="n">
        <v>4.18842640013023004</v>
      </c>
      <c r="F29" s="9" t="n">
        <v>13.6197399190030008</v>
      </c>
      <c r="G29" s="9" t="n">
        <v>1.34484123127387001</v>
      </c>
      <c r="H29" s="9" t="n">
        <v>1.9127599398740001</v>
      </c>
      <c r="I29" s="9" t="n">
        <v>65.5155011332912949</v>
      </c>
      <c r="J29" s="9" t="n">
        <v>5.07255692868745989</v>
      </c>
      <c r="K29" s="9" t="n">
        <v>0.0987420640387911952</v>
      </c>
      <c r="L29" s="9" t="n">
        <v>0.0774252938761368892</v>
      </c>
      <c r="M29" s="56" t="s">
        <v>210</v>
      </c>
    </row>
    <row r="30" spans="1:13" ht="15.75" customHeight="1">
      <c r="A30" s="56" t="s">
        <v>237</v>
      </c>
      <c r="B30" s="56" t="s">
        <v>208</v>
      </c>
      <c r="C30" s="9" t="n">
        <v>1.17999999999999994</v>
      </c>
      <c r="D30" s="58" t="n">
        <v>5.29601549775288039</v>
      </c>
      <c r="E30" s="9" t="n">
        <v>3.99151078033388949</v>
      </c>
      <c r="F30" s="9" t="n">
        <v>12.0376129408215995</v>
      </c>
      <c r="G30" s="9" t="n">
        <v>0.355947502283995032</v>
      </c>
      <c r="H30" s="9" t="n">
        <v>1.82647877117998974</v>
      </c>
      <c r="I30" s="9" t="n">
        <v>54.0265971953743005</v>
      </c>
      <c r="J30" s="9" t="n">
        <v>2.71061475041544009</v>
      </c>
      <c r="K30" s="9" t="n">
        <v>0.0295696085290230037</v>
      </c>
      <c r="L30" s="9" t="n">
        <v>0.0501718577724439108</v>
      </c>
      <c r="M30" s="56" t="s">
        <v>224</v>
      </c>
    </row>
    <row r="31" spans="1:13" ht="15.75" customHeight="1">
      <c r="A31" s="56" t="s">
        <v>238</v>
      </c>
      <c r="B31" s="56" t="s">
        <v>208</v>
      </c>
      <c r="C31" s="9" t="n">
        <v>1.17999999999999994</v>
      </c>
      <c r="D31" s="58" t="n">
        <v>5.31665853141155953</v>
      </c>
      <c r="E31" s="9" t="n">
        <v>2.52208029683902035</v>
      </c>
      <c r="F31" s="9" t="n">
        <v>12.0115152970872998</v>
      </c>
      <c r="G31" s="9" t="n">
        <v>0.409786770527284006</v>
      </c>
      <c r="H31" s="9" t="n">
        <v>1.83680956674179008</v>
      </c>
      <c r="I31" s="9" t="n">
        <v>54.1195976944405004</v>
      </c>
      <c r="J31" s="9" t="n">
        <v>2.24799938257147991</v>
      </c>
      <c r="K31" s="9" t="n">
        <v>0.034116159401358197</v>
      </c>
      <c r="L31" s="9" t="n">
        <v>0.0415376218290404964</v>
      </c>
      <c r="M31" s="56" t="s">
        <v>224</v>
      </c>
    </row>
    <row r="32" spans="1:13" ht="15.75" customHeight="1">
      <c r="A32" s="56" t="s">
        <v>239</v>
      </c>
      <c r="B32" s="56" t="s">
        <v>208</v>
      </c>
      <c r="C32" s="9" t="n">
        <v>1.17999999999999994</v>
      </c>
      <c r="D32" s="58" t="n">
        <v>5.49968656041040926</v>
      </c>
      <c r="E32" s="9" t="n">
        <v>3.98731368123040006</v>
      </c>
      <c r="F32" s="9" t="n">
        <v>11.3798752990546017</v>
      </c>
      <c r="G32" s="9" t="n">
        <v>0.31561862490232393</v>
      </c>
      <c r="H32" s="9" t="n">
        <v>1.9244284739879296</v>
      </c>
      <c r="I32" s="9" t="n">
        <v>53.0387688486079014</v>
      </c>
      <c r="J32" s="9" t="n">
        <v>3.01401271796949999</v>
      </c>
      <c r="K32" s="9" t="n">
        <v>0.0277348052248467036</v>
      </c>
      <c r="L32" s="9" t="n">
        <v>0.056826596533049214</v>
      </c>
      <c r="M32" s="56" t="s">
        <v>224</v>
      </c>
    </row>
    <row r="33" spans="1:13" ht="15.75" customHeight="1">
      <c r="A33" s="56" t="s">
        <v>240</v>
      </c>
      <c r="B33" s="56" t="s">
        <v>208</v>
      </c>
      <c r="C33" s="9" t="n">
        <v>1.17999999999999994</v>
      </c>
      <c r="D33" s="58" t="n">
        <v>5.63982413879165989</v>
      </c>
      <c r="E33" s="9" t="n">
        <v>3.73902468986215997</v>
      </c>
      <c r="F33" s="9" t="n">
        <v>11.3659397532147004</v>
      </c>
      <c r="G33" s="9" t="n">
        <v>0.316737081253635999</v>
      </c>
      <c r="H33" s="9" t="n">
        <v>1.9462705804398901</v>
      </c>
      <c r="I33" s="9" t="n">
        <v>54.3236452374847971</v>
      </c>
      <c r="J33" s="9" t="n">
        <v>2.46067738211176001</v>
      </c>
      <c r="K33" s="9" t="n">
        <v>0.0278672145137889959</v>
      </c>
      <c r="L33" s="9" t="n">
        <v>0.0452966175475614996</v>
      </c>
      <c r="M33" s="56" t="s">
        <v>224</v>
      </c>
    </row>
    <row r="34" spans="1:13" ht="15.75" customHeight="1">
      <c r="A34" s="56" t="s">
        <v>241</v>
      </c>
      <c r="B34" s="56" t="s">
        <v>208</v>
      </c>
      <c r="C34" s="9" t="n">
        <v>1.17999999999999994</v>
      </c>
      <c r="D34" s="58" t="n">
        <v>5.5025442443109398</v>
      </c>
      <c r="E34" s="9" t="n">
        <v>5.29768882586908951</v>
      </c>
      <c r="F34" s="9" t="n">
        <v>11.3008661050930002</v>
      </c>
      <c r="G34" s="9" t="n">
        <v>0.414779183976592947</v>
      </c>
      <c r="H34" s="9" t="n">
        <v>2.5</v>
      </c>
      <c r="I34" s="9" t="n">
        <v>52.6978946968712947</v>
      </c>
      <c r="J34" s="9" t="n">
        <v>2.67978836899142037</v>
      </c>
      <c r="K34" s="9" t="n">
        <v>0.0367033092967681762</v>
      </c>
      <c r="L34" s="9" t="n">
        <v>0.0508519056483392884</v>
      </c>
      <c r="M34" s="56" t="s">
        <v>224</v>
      </c>
    </row>
    <row r="35" spans="1:13" ht="15.75" customHeight="1">
      <c r="A35" s="56" t="s">
        <v>242</v>
      </c>
      <c r="B35" s="56" t="s">
        <v>208</v>
      </c>
      <c r="C35" s="9" t="n">
        <v>1.17999999999999994</v>
      </c>
      <c r="D35" s="58" t="n">
        <v>5.40895508461838048</v>
      </c>
      <c r="E35" s="9" t="n">
        <v>2.07890311728221011</v>
      </c>
      <c r="F35" s="9" t="n">
        <v>10.7768508398305016</v>
      </c>
      <c r="G35" s="9" t="n">
        <v>0.416808853819123115</v>
      </c>
      <c r="H35" s="9" t="n">
        <v>1.84247615435858876</v>
      </c>
      <c r="I35" s="9" t="n">
        <v>49.3995780900634855</v>
      </c>
      <c r="J35" s="9" t="n">
        <v>2.54300158756108008</v>
      </c>
      <c r="K35" s="9" t="n">
        <v>0.0386763127757719047</v>
      </c>
      <c r="L35" s="9" t="n">
        <v>0.0514782045896175955</v>
      </c>
      <c r="M35" s="56" t="s">
        <v>224</v>
      </c>
    </row>
    <row r="36" spans="1:13" ht="15.75" customHeight="1">
      <c r="A36" s="56" t="s">
        <v>243</v>
      </c>
      <c r="B36" s="56" t="s">
        <v>208</v>
      </c>
      <c r="C36" s="9" t="n">
        <v>1.17999999999999994</v>
      </c>
      <c r="D36" s="58" t="n">
        <v>4.9708610995782303</v>
      </c>
      <c r="E36" s="9" t="n">
        <v>4.25267363162428946</v>
      </c>
      <c r="F36" s="9" t="n">
        <v>11.4734455890903</v>
      </c>
      <c r="G36" s="9" t="n">
        <v>0.397093692255559017</v>
      </c>
      <c r="H36" s="9" t="n">
        <v>1.86617687118888007</v>
      </c>
      <c r="I36" s="9" t="n">
        <v>48.332969794013799</v>
      </c>
      <c r="J36" s="9" t="n">
        <v>2.73711426780308864</v>
      </c>
      <c r="K36" s="9" t="n">
        <v>0.0346098030597836948</v>
      </c>
      <c r="L36" s="9" t="n">
        <v>0.0566303763138944927</v>
      </c>
      <c r="M36" s="56" t="s">
        <v>244</v>
      </c>
    </row>
    <row r="37" spans="1:13" ht="15.75" customHeight="1">
      <c r="A37" s="56" t="s">
        <v>245</v>
      </c>
      <c r="B37" s="56" t="s">
        <v>208</v>
      </c>
      <c r="C37" s="9" t="n">
        <v>1.17999999999999994</v>
      </c>
      <c r="D37" s="58" t="n">
        <v>5.16093955180070019</v>
      </c>
      <c r="E37" s="9" t="n">
        <v>1.92539634527422976</v>
      </c>
      <c r="F37" s="9" t="n">
        <v>11.1526493021814002</v>
      </c>
      <c r="G37" s="9" t="n">
        <v>0.424095195514508028</v>
      </c>
      <c r="H37" s="9" t="n">
        <v>1.8007139021641601</v>
      </c>
      <c r="I37" s="9" t="n">
        <v>48.7780922805004025</v>
      </c>
      <c r="J37" s="9" t="n">
        <v>2.60410264573887007</v>
      </c>
      <c r="K37" s="9" t="n">
        <v>0.0380264082572342019</v>
      </c>
      <c r="L37" s="9" t="n">
        <v>0.0533867259663184957</v>
      </c>
      <c r="M37" s="56" t="s">
        <v>244</v>
      </c>
    </row>
    <row r="38" spans="1:13" ht="15.75" customHeight="1">
      <c r="A38" s="56" t="s">
        <v>246</v>
      </c>
      <c r="B38" s="56" t="s">
        <v>208</v>
      </c>
      <c r="C38" s="9" t="n">
        <v>1.17999999999999994</v>
      </c>
      <c r="D38" s="58" t="n">
        <v>5.01811596780400038</v>
      </c>
      <c r="E38" s="9" t="n">
        <v>5.95051008571593965</v>
      </c>
      <c r="F38" s="9" t="n">
        <v>11.4446905235264005</v>
      </c>
      <c r="G38" s="9" t="n">
        <v>0.43513824993672392</v>
      </c>
      <c r="H38" s="9" t="n">
        <v>1.88296617374563002</v>
      </c>
      <c r="I38" s="9" t="n">
        <v>48.6701561548161976</v>
      </c>
      <c r="J38" s="9" t="n">
        <v>2.62036647796259992</v>
      </c>
      <c r="K38" s="9" t="n">
        <v>0.038020971300379518</v>
      </c>
      <c r="L38" s="9" t="n">
        <v>0.053839286433094804</v>
      </c>
      <c r="M38" s="56" t="s">
        <v>244</v>
      </c>
    </row>
    <row r="39" spans="1:13" ht="15.75" customHeight="1">
      <c r="A39" s="56" t="s">
        <v>247</v>
      </c>
      <c r="B39" s="56" t="s">
        <v>208</v>
      </c>
      <c r="C39" s="9" t="n">
        <v>1.17999999999999994</v>
      </c>
      <c r="D39" s="58" t="n">
        <v>5.10908063935843959</v>
      </c>
      <c r="E39" s="9" t="n">
        <v>13.7412466788335994</v>
      </c>
      <c r="F39" s="9" t="n">
        <v>11.3379120475866007</v>
      </c>
      <c r="G39" s="9" t="n">
        <v>0.439816287348912027</v>
      </c>
      <c r="H39" s="9" t="n">
        <v>2.5</v>
      </c>
      <c r="I39" s="9" t="n">
        <v>49.0900906212488977</v>
      </c>
      <c r="J39" s="9" t="n">
        <v>3.0873722166961497</v>
      </c>
      <c r="K39" s="9" t="n">
        <v>0.0387916474835003022</v>
      </c>
      <c r="L39" s="9" t="n">
        <v>0.062891964093457311</v>
      </c>
      <c r="M39" s="56" t="s">
        <v>244</v>
      </c>
    </row>
    <row r="40" spans="1:13" ht="15.75" customHeight="1">
      <c r="A40" s="56" t="s">
        <v>248</v>
      </c>
      <c r="B40" s="56" t="s">
        <v>208</v>
      </c>
      <c r="C40" s="9" t="n">
        <v>1.17999999999999994</v>
      </c>
      <c r="D40" s="58" t="n">
        <v>5.0572022195197901</v>
      </c>
      <c r="E40" s="9" t="n">
        <v>3.9751550437316201</v>
      </c>
      <c r="F40" s="9" t="n">
        <v>11.2600206554054001</v>
      </c>
      <c r="G40" s="9" t="n">
        <v>0.368737452167044966</v>
      </c>
      <c r="H40" s="9" t="n">
        <v>1.8936354965217701</v>
      </c>
      <c r="I40" s="9" t="n">
        <v>48.2577978392839029</v>
      </c>
      <c r="J40" s="9" t="n">
        <v>2.77179024118330863</v>
      </c>
      <c r="K40" s="9" t="n">
        <v>0.0327474934062427003</v>
      </c>
      <c r="L40" s="9" t="n">
        <v>0.0574371472650780035</v>
      </c>
      <c r="M40" s="56" t="s">
        <v>244</v>
      </c>
    </row>
    <row r="41" spans="1:13" ht="15.75" customHeight="1">
      <c r="A41" s="56" t="s">
        <v>249</v>
      </c>
      <c r="B41" s="56" t="s">
        <v>208</v>
      </c>
      <c r="C41" s="9" t="n">
        <v>1.17999999999999994</v>
      </c>
      <c r="D41" s="58" t="n">
        <v>4.87096343629410988</v>
      </c>
      <c r="E41" s="9" t="n">
        <v>9.10783304973807972</v>
      </c>
      <c r="F41" s="9" t="n">
        <v>11.5521203954311016</v>
      </c>
      <c r="G41" s="9" t="n">
        <v>0.359459297235809982</v>
      </c>
      <c r="H41" s="9" t="n">
        <v>2.15752434795758985</v>
      </c>
      <c r="I41" s="9" t="n">
        <v>47.6864034388238025</v>
      </c>
      <c r="J41" s="9" t="n">
        <v>4.19426291660044015</v>
      </c>
      <c r="K41" s="9" t="n">
        <v>0.0311163046204034943</v>
      </c>
      <c r="L41" s="9" t="n">
        <v>0.0879551111876406999</v>
      </c>
      <c r="M41" s="56" t="s">
        <v>244</v>
      </c>
    </row>
    <row r="42" spans="1:13" ht="15.75" customHeight="1">
      <c r="A42" s="56" t="s">
        <v>250</v>
      </c>
      <c r="B42" s="56" t="s">
        <v>208</v>
      </c>
      <c r="C42" s="9" t="n">
        <v>1.17999999999999994</v>
      </c>
      <c r="D42" s="58" t="n">
        <v>4.93108829436425999</v>
      </c>
      <c r="E42" s="9" t="n">
        <v>4.56012766709828998</v>
      </c>
      <c r="F42" s="9" t="n">
        <v>12.0696131540361993</v>
      </c>
      <c r="G42" s="9" t="n">
        <v>0.268326237033944981</v>
      </c>
      <c r="H42" s="9" t="n">
        <v>1.89755841918938</v>
      </c>
      <c r="I42" s="9" t="n">
        <v>50.4375662215022018</v>
      </c>
      <c r="J42" s="9" t="n">
        <v>2.40951926922498005</v>
      </c>
      <c r="K42" s="9" t="n">
        <v>0.022231552379474091</v>
      </c>
      <c r="L42" s="9" t="n">
        <v>0.047772314362737216</v>
      </c>
      <c r="M42" s="56" t="s">
        <v>244</v>
      </c>
    </row>
    <row r="43" spans="1:13" ht="15.75" customHeight="1">
      <c r="A43" s="56" t="s">
        <v>251</v>
      </c>
      <c r="B43" s="56" t="s">
        <v>208</v>
      </c>
      <c r="C43" s="9" t="n">
        <v>1.17999999999999994</v>
      </c>
      <c r="D43" s="58" t="n">
        <v>4.90273657877523039</v>
      </c>
      <c r="E43" s="9" t="n">
        <v>9.94637419045968052</v>
      </c>
      <c r="F43" s="9" t="n">
        <v>12.0990575265304994</v>
      </c>
      <c r="G43" s="9" t="n">
        <v>0.15836153725403701</v>
      </c>
      <c r="H43" s="9" t="n">
        <v>2.08360101327270009</v>
      </c>
      <c r="I43" s="9" t="n">
        <v>50.2699083932431989</v>
      </c>
      <c r="J43" s="9" t="n">
        <v>2.58475787280965008</v>
      </c>
      <c r="K43" s="9" t="n">
        <v>0.0130887498391329027</v>
      </c>
      <c r="L43" s="9" t="n">
        <v>0.0514175966383314975</v>
      </c>
      <c r="M43" s="56" t="s">
        <v>244</v>
      </c>
    </row>
    <row r="44" spans="1:13" ht="15.75" customHeight="1">
      <c r="A44" s="56" t="s">
        <v>252</v>
      </c>
      <c r="B44" s="56" t="s">
        <v>208</v>
      </c>
      <c r="C44" s="9" t="n">
        <v>1.17999999999999994</v>
      </c>
      <c r="D44" s="58" t="n">
        <v>5.23265954650604836</v>
      </c>
      <c r="E44" s="9" t="n">
        <v>3.61923161331430032</v>
      </c>
      <c r="F44" s="9" t="n">
        <v>11.2073704182646008</v>
      </c>
      <c r="G44" s="9" t="n">
        <v>0.376250181244365978</v>
      </c>
      <c r="H44" s="9" t="n">
        <v>1.94675927344428938</v>
      </c>
      <c r="I44" s="9" t="n">
        <v>49.6986049240352017</v>
      </c>
      <c r="J44" s="9" t="n">
        <v>2.1705380431887602</v>
      </c>
      <c r="K44" s="9" t="n">
        <v>0.033571673568600402</v>
      </c>
      <c r="L44" s="9" t="n">
        <v>0.043674023576847798</v>
      </c>
      <c r="M44" s="56" t="s">
        <v>244</v>
      </c>
    </row>
    <row r="45" spans="1:13" ht="15.75" customHeight="1">
      <c r="A45" s="56" t="s">
        <v>253</v>
      </c>
      <c r="B45" s="56" t="s">
        <v>208</v>
      </c>
      <c r="C45" s="9" t="n">
        <v>1.17999999999999994</v>
      </c>
      <c r="D45" s="58" t="n">
        <v>4.86479236472339949</v>
      </c>
      <c r="E45" s="9" t="n">
        <v>3.78005517673783986</v>
      </c>
      <c r="F45" s="9" t="n">
        <v>12.0561494156641995</v>
      </c>
      <c r="G45" s="9" t="n">
        <v>0.302969898749486966</v>
      </c>
      <c r="H45" s="9" t="n">
        <v>1.81304580954435011</v>
      </c>
      <c r="I45" s="9" t="n">
        <v>49.7039522248200001</v>
      </c>
      <c r="J45" s="9" t="n">
        <v>2.17023767328914863</v>
      </c>
      <c r="K45" s="9" t="n">
        <v>0.0251299057687397021</v>
      </c>
      <c r="L45" s="9" t="n">
        <v>0.0436632818145480961</v>
      </c>
      <c r="M45" s="56" t="s">
        <v>244</v>
      </c>
    </row>
    <row r="46" spans="1:13" ht="15.75" customHeight="1">
      <c r="A46" s="56" t="s">
        <v>254</v>
      </c>
      <c r="B46" s="56" t="s">
        <v>208</v>
      </c>
      <c r="C46" s="9" t="n">
        <v>1.17999999999999994</v>
      </c>
      <c r="D46" s="58" t="n">
        <v>4.79009786119511993</v>
      </c>
      <c r="E46" s="9" t="n">
        <v>3.22268846493154948</v>
      </c>
      <c r="F46" s="9" t="n">
        <v>11.7271502791035012</v>
      </c>
      <c r="G46" s="9" t="n">
        <v>0.448645655425865986</v>
      </c>
      <c r="H46" s="9" t="n">
        <v>1.87598554155333002</v>
      </c>
      <c r="I46" s="9" t="n">
        <v>47.6052520930912024</v>
      </c>
      <c r="J46" s="9" t="n">
        <v>3.21753171465647991</v>
      </c>
      <c r="K46" s="9" t="n">
        <v>0.0382570057301390101</v>
      </c>
      <c r="L46" s="9" t="n">
        <v>0.0675877465865458049</v>
      </c>
      <c r="M46" s="56" t="s">
        <v>244</v>
      </c>
    </row>
    <row r="47" spans="1:13" ht="15.75" customHeight="1">
      <c r="A47" s="56" t="s">
        <v>255</v>
      </c>
      <c r="B47" s="56" t="s">
        <v>208</v>
      </c>
      <c r="C47" s="9" t="n">
        <v>1.17999999999999994</v>
      </c>
      <c r="D47" s="58" t="n">
        <v>5.18550378193218986</v>
      </c>
      <c r="E47" s="9" t="n">
        <v>3.97026041751378891</v>
      </c>
      <c r="F47" s="9" t="n">
        <v>10.6946004549915994</v>
      </c>
      <c r="G47" s="9" t="n">
        <v>0.620974399415140965</v>
      </c>
      <c r="H47" s="9" t="n">
        <v>1.94045264391014971</v>
      </c>
      <c r="I47" s="9" t="n">
        <v>46.9973653437395953</v>
      </c>
      <c r="J47" s="9" t="n">
        <v>3.63369094469728982</v>
      </c>
      <c r="K47" s="9" t="n">
        <v>0.0580642916047700997</v>
      </c>
      <c r="L47" s="9" t="n">
        <v>0.0773169074079027041</v>
      </c>
      <c r="M47" s="56" t="s">
        <v>244</v>
      </c>
    </row>
    <row r="48" spans="1:13" ht="15.75" customHeight="1">
      <c r="A48" s="56" t="s">
        <v>256</v>
      </c>
      <c r="B48" s="56" t="s">
        <v>208</v>
      </c>
      <c r="C48" s="9" t="n">
        <v>1.17999999999999994</v>
      </c>
      <c r="D48" s="58" t="n">
        <v>4.71950530111193967</v>
      </c>
      <c r="E48" s="9" t="n">
        <v>2.90796316190611002</v>
      </c>
      <c r="F48" s="9" t="n">
        <v>11.6745853382102016</v>
      </c>
      <c r="G48" s="9" t="n">
        <v>0.287976523383230987</v>
      </c>
      <c r="H48" s="9" t="n">
        <v>1.8693210434802598</v>
      </c>
      <c r="I48" s="9" t="n">
        <v>46.6934469423447993</v>
      </c>
      <c r="J48" s="9" t="n">
        <v>4.58041631406158967</v>
      </c>
      <c r="K48" s="9" t="n">
        <v>0.0246669594714169982</v>
      </c>
      <c r="L48" s="9" t="n">
        <v>0.0980954847843489475</v>
      </c>
      <c r="M48" s="56" t="s">
        <v>244</v>
      </c>
    </row>
    <row r="49" spans="1:13" ht="15.75" customHeight="1">
      <c r="A49" s="56" t="s">
        <v>257</v>
      </c>
      <c r="B49" s="56" t="s">
        <v>86</v>
      </c>
      <c r="C49" s="9" t="n">
        <v>1.17999999999999994</v>
      </c>
      <c r="D49" s="57" t="s">
        <v>86</v>
      </c>
      <c r="E49" s="56" t="s">
        <v>86</v>
      </c>
      <c r="F49" s="56" t="s">
        <v>86</v>
      </c>
      <c r="G49" s="56" t="s">
        <v>86</v>
      </c>
      <c r="H49" s="56" t="s">
        <v>86</v>
      </c>
      <c r="I49" s="56" t="s">
        <v>86</v>
      </c>
      <c r="J49" s="56" t="s">
        <v>86</v>
      </c>
      <c r="K49" s="56" t="s">
        <v>86</v>
      </c>
      <c r="L49" s="56" t="s">
        <v>86</v>
      </c>
      <c r="M49" s="56" t="s">
        <v>244</v>
      </c>
    </row>
    <row r="50" spans="1:13" ht="15.75" customHeight="1">
      <c r="A50" s="56" t="s">
        <v>258</v>
      </c>
      <c r="B50" s="56" t="s">
        <v>208</v>
      </c>
      <c r="C50" s="9" t="n">
        <v>1.17999999999999994</v>
      </c>
      <c r="D50" s="58" t="n">
        <v>5.0536773001337405</v>
      </c>
      <c r="E50" s="9" t="n">
        <v>7.7579102166379279</v>
      </c>
      <c r="F50" s="9" t="n">
        <v>11.5207463246896005</v>
      </c>
      <c r="G50" s="9" t="n">
        <v>0.352954473865654972</v>
      </c>
      <c r="H50" s="9" t="n">
        <v>2.5</v>
      </c>
      <c r="I50" s="9" t="n">
        <v>49.3407916793922965</v>
      </c>
      <c r="J50" s="9" t="n">
        <v>2.18451227852898899</v>
      </c>
      <c r="K50" s="9" t="n">
        <v>0.0306364244050104961</v>
      </c>
      <c r="L50" s="9" t="n">
        <v>0.0442739608379930072</v>
      </c>
      <c r="M50" s="56" t="s">
        <v>244</v>
      </c>
    </row>
    <row r="51" spans="4:4" ht="15.75" customHeight="1">
      <c r="D51" s="10"/>
    </row>
    <row r="52" spans="4:4" ht="15.75" customHeight="1">
      <c r="D52" s="10"/>
    </row>
    <row r="53" spans="4:4" ht="15.75" customHeight="1">
      <c r="D53" s="10"/>
    </row>
    <row r="54" spans="4:4" ht="15.75" customHeight="1">
      <c r="D54" s="10"/>
    </row>
    <row r="55" spans="4:4" ht="15.75" customHeight="1">
      <c r="D55" s="10"/>
    </row>
    <row r="56" spans="4:4" ht="15.75" customHeight="1">
      <c r="D56" s="10"/>
    </row>
    <row r="57" spans="4:4" ht="15.75" customHeight="1">
      <c r="D57" s="10"/>
    </row>
    <row r="58" spans="4:4" ht="15.75" customHeight="1">
      <c r="D58" s="10"/>
    </row>
    <row r="59" spans="4:4" ht="15.75" customHeight="1">
      <c r="D59" s="10"/>
    </row>
    <row r="60" spans="4:4" ht="15.75" customHeight="1">
      <c r="D60" s="10"/>
    </row>
    <row r="61" spans="4:4" ht="15.75" customHeight="1">
      <c r="D61" s="10"/>
    </row>
    <row r="62" spans="4:4" ht="15.75" customHeight="1">
      <c r="D62" s="10"/>
    </row>
    <row r="63" spans="4:4" ht="15.75" customHeight="1">
      <c r="D63" s="10"/>
    </row>
    <row r="64" spans="4:4" ht="15.75" customHeight="1">
      <c r="D64" s="10"/>
    </row>
    <row r="65" spans="4:4" ht="15.75" customHeight="1">
      <c r="D65" s="10"/>
    </row>
    <row r="66" spans="4:4" ht="15.75" customHeight="1">
      <c r="D66" s="10"/>
    </row>
    <row r="67" spans="4:4" ht="15.75" customHeight="1">
      <c r="D67" s="10"/>
    </row>
    <row r="68" spans="4:4" ht="15.75" customHeight="1">
      <c r="D68" s="10"/>
    </row>
    <row r="69" spans="4:4" ht="15.75" customHeight="1">
      <c r="D69" s="10"/>
    </row>
    <row r="70" spans="4:4" ht="15.75" customHeight="1">
      <c r="D70" s="10"/>
    </row>
    <row r="71" spans="4:4" ht="15.75" customHeight="1">
      <c r="D71" s="10"/>
    </row>
    <row r="72" spans="4:4" ht="15.75" customHeight="1">
      <c r="D72" s="10"/>
    </row>
    <row r="73" spans="4:4" ht="15.75" customHeight="1">
      <c r="D73" s="10"/>
    </row>
    <row r="74" spans="4:4" ht="15.75" customHeight="1">
      <c r="D74" s="10"/>
    </row>
    <row r="75" spans="4:4" ht="15.75" customHeight="1">
      <c r="D75" s="10"/>
    </row>
    <row r="76" spans="4:4" ht="15.75" customHeight="1">
      <c r="D76" s="10"/>
    </row>
    <row r="77" spans="4:4" ht="15.75" customHeight="1">
      <c r="D77" s="10"/>
    </row>
    <row r="78" spans="4:4" ht="15.75" customHeight="1">
      <c r="D78" s="10"/>
    </row>
    <row r="79" spans="4:4" ht="15.75" customHeight="1">
      <c r="D79" s="10"/>
    </row>
    <row r="80" spans="4:4" ht="15.75" customHeight="1">
      <c r="D80" s="10"/>
    </row>
    <row r="81" spans="4:4" ht="15.75" customHeight="1">
      <c r="D81" s="10"/>
    </row>
    <row r="82" spans="4:4" ht="15.75" customHeight="1">
      <c r="D82" s="10"/>
    </row>
    <row r="83" spans="4:4" ht="15.75" customHeight="1">
      <c r="D83" s="10"/>
    </row>
    <row r="84" spans="4:4" ht="15.75" customHeight="1">
      <c r="D84" s="10"/>
    </row>
    <row r="85" spans="4:4" ht="15.75" customHeight="1">
      <c r="D85" s="10"/>
    </row>
    <row r="86" spans="4:4" ht="15.75" customHeight="1">
      <c r="D86" s="10"/>
    </row>
    <row r="87" spans="4:4" ht="15.75" customHeight="1">
      <c r="D87" s="10"/>
    </row>
    <row r="88" spans="4:4" ht="15.75" customHeight="1">
      <c r="D88" s="10"/>
    </row>
    <row r="89" spans="4:4" ht="15.75" customHeight="1">
      <c r="D89" s="10"/>
    </row>
    <row r="90" spans="4:4" ht="15.75" customHeight="1">
      <c r="D90" s="10"/>
    </row>
    <row r="91" spans="4:4" ht="15.75" customHeight="1">
      <c r="D91" s="10"/>
    </row>
    <row r="92" spans="4:4" ht="15.75" customHeight="1">
      <c r="D92" s="10"/>
    </row>
    <row r="93" spans="4:4" ht="15.75" customHeight="1">
      <c r="D93" s="10"/>
    </row>
    <row r="94" spans="4:4" ht="15.75" customHeight="1">
      <c r="D94" s="10"/>
    </row>
    <row r="95" spans="4:4" ht="15.75" customHeight="1">
      <c r="D95" s="10"/>
    </row>
    <row r="96" spans="4:4" ht="15.75" customHeight="1">
      <c r="D96" s="10"/>
    </row>
    <row r="97" spans="4:4" ht="15.75" customHeight="1">
      <c r="D97" s="10"/>
    </row>
    <row r="98" spans="4:4" ht="15.75" customHeight="1">
      <c r="D98" s="10"/>
    </row>
    <row r="99" spans="4:4" ht="15.75" customHeight="1">
      <c r="D99" s="10"/>
    </row>
    <row r="100" spans="4:4" ht="15.75" customHeight="1">
      <c r="D100" s="10"/>
    </row>
    <row r="101" spans="4:4" ht="15.75" customHeight="1">
      <c r="D101" s="10"/>
    </row>
    <row r="102" spans="4:4" ht="15.75" customHeight="1">
      <c r="D102" s="10"/>
    </row>
    <row r="103" spans="4:4" ht="15.75" customHeight="1">
      <c r="D103" s="10"/>
    </row>
    <row r="104" spans="4:4" ht="15.75" customHeight="1">
      <c r="D104" s="10"/>
    </row>
    <row r="105" spans="4:4" ht="15.75" customHeight="1">
      <c r="D105" s="10"/>
    </row>
    <row r="106" spans="4:4" ht="15.75" customHeight="1">
      <c r="D106" s="10"/>
    </row>
    <row r="107" spans="4:4" ht="15.75" customHeight="1">
      <c r="D107" s="10"/>
    </row>
    <row r="108" spans="4:4" ht="15.75" customHeight="1">
      <c r="D108" s="10"/>
    </row>
    <row r="109" spans="4:4" ht="15.75" customHeight="1">
      <c r="D109" s="10"/>
    </row>
    <row r="110" spans="4:4" ht="15.75" customHeight="1">
      <c r="D110" s="10"/>
    </row>
    <row r="111" spans="4:4" ht="15.75" customHeight="1">
      <c r="D111" s="10"/>
    </row>
    <row r="112" spans="4:4" ht="15.75" customHeight="1">
      <c r="D112" s="10"/>
    </row>
    <row r="113" spans="4:4" ht="15.75" customHeight="1">
      <c r="D113" s="10"/>
    </row>
    <row r="114" spans="4:4" ht="15.75" customHeight="1">
      <c r="D114" s="10"/>
    </row>
    <row r="115" spans="4:4" ht="15.75" customHeight="1">
      <c r="D115" s="10"/>
    </row>
    <row r="116" spans="4:4" ht="15.75" customHeight="1">
      <c r="D116" s="10"/>
    </row>
    <row r="117" spans="4:4" ht="15.75" customHeight="1">
      <c r="D117" s="10"/>
    </row>
    <row r="118" spans="4:4" ht="15.75" customHeight="1">
      <c r="D118" s="10"/>
    </row>
    <row r="119" spans="4:4" ht="15.75" customHeight="1">
      <c r="D119" s="10"/>
    </row>
    <row r="120" spans="4:4" ht="15.75" customHeight="1">
      <c r="D120" s="10"/>
    </row>
    <row r="121" spans="4:4" ht="15.75" customHeight="1">
      <c r="D121" s="10"/>
    </row>
    <row r="122" spans="4:4" ht="15.75" customHeight="1">
      <c r="D122" s="10"/>
    </row>
    <row r="123" spans="4:4" ht="15.75" customHeight="1">
      <c r="D123" s="10"/>
    </row>
    <row r="124" spans="4:4" ht="15.75" customHeight="1">
      <c r="D124" s="10"/>
    </row>
    <row r="125" spans="4:4" ht="15.75" customHeight="1">
      <c r="D125" s="10"/>
    </row>
    <row r="126" spans="4:4" ht="15.75" customHeight="1">
      <c r="D126" s="10"/>
    </row>
    <row r="127" spans="4:4" ht="15.75" customHeight="1">
      <c r="D127" s="10"/>
    </row>
    <row r="128" spans="4:4" ht="15.75" customHeight="1">
      <c r="D128" s="10"/>
    </row>
    <row r="129" spans="4:4" ht="15.75" customHeight="1">
      <c r="D129" s="10"/>
    </row>
    <row r="130" spans="4:4" ht="15.75" customHeight="1">
      <c r="D130" s="10"/>
    </row>
    <row r="131" spans="4:4" ht="15.75" customHeight="1">
      <c r="D131" s="10"/>
    </row>
    <row r="132" spans="4:4" ht="15.75" customHeight="1">
      <c r="D132" s="10"/>
    </row>
    <row r="133" spans="4:4" ht="15.75" customHeight="1">
      <c r="D133" s="10"/>
    </row>
    <row r="134" spans="4:4" ht="15.75" customHeight="1">
      <c r="D134" s="10"/>
    </row>
    <row r="135" spans="4:4" ht="15.75" customHeight="1">
      <c r="D135" s="10"/>
    </row>
    <row r="136" spans="4:4" ht="15.75" customHeight="1">
      <c r="D136" s="10"/>
    </row>
    <row r="137" spans="4:4" ht="15.75" customHeight="1">
      <c r="D137" s="10"/>
    </row>
    <row r="138" spans="4:4" ht="15.75" customHeight="1">
      <c r="D138" s="10"/>
    </row>
    <row r="139" spans="4:4" ht="15.75" customHeight="1">
      <c r="D139" s="10"/>
    </row>
    <row r="140" spans="4:4" ht="15.75" customHeight="1">
      <c r="D140" s="10"/>
    </row>
    <row r="141" spans="4:4" ht="15.75" customHeight="1">
      <c r="D141" s="10"/>
    </row>
    <row r="142" spans="4:4" ht="15.75" customHeight="1">
      <c r="D142" s="10"/>
    </row>
    <row r="143" spans="4:4" ht="15.75" customHeight="1">
      <c r="D143" s="10"/>
    </row>
    <row r="144" spans="4:4" ht="15.75" customHeight="1">
      <c r="D144" s="10"/>
    </row>
    <row r="145" spans="4:4" ht="15.75" customHeight="1">
      <c r="D145" s="10"/>
    </row>
    <row r="146" spans="4:4" ht="15.75" customHeight="1">
      <c r="D146" s="10"/>
    </row>
    <row r="147" spans="4:4" ht="15.75" customHeight="1">
      <c r="D147" s="10"/>
    </row>
    <row r="148" spans="4:4" ht="15.75" customHeight="1">
      <c r="D148" s="10"/>
    </row>
    <row r="149" spans="4:4" ht="15.75" customHeight="1">
      <c r="D149" s="10"/>
    </row>
    <row r="150" spans="4:4" ht="15.75" customHeight="1">
      <c r="D150" s="10"/>
    </row>
    <row r="151" spans="4:4" ht="15.75" customHeight="1">
      <c r="D151" s="10"/>
    </row>
    <row r="152" spans="4:4" ht="15.75" customHeight="1">
      <c r="D152" s="10"/>
    </row>
    <row r="153" spans="4:4" ht="15.75" customHeight="1">
      <c r="D153" s="10"/>
    </row>
    <row r="154" spans="4:4" ht="15.75" customHeight="1">
      <c r="D154" s="10"/>
    </row>
    <row r="155" spans="4:4" ht="15.75" customHeight="1">
      <c r="D155" s="10"/>
    </row>
    <row r="156" spans="4:4" ht="15.75" customHeight="1">
      <c r="D156" s="10"/>
    </row>
    <row r="157" spans="4:4" ht="15.75" customHeight="1">
      <c r="D157" s="10"/>
    </row>
    <row r="158" spans="4:4" ht="15.75" customHeight="1">
      <c r="D158" s="10"/>
    </row>
    <row r="159" spans="4:4" ht="15.75" customHeight="1">
      <c r="D159" s="10"/>
    </row>
    <row r="160" spans="4:4" ht="15.75" customHeight="1">
      <c r="D160" s="10"/>
    </row>
    <row r="161" spans="4:4" ht="15.75" customHeight="1">
      <c r="D161" s="10"/>
    </row>
    <row r="162" spans="4:4" ht="15.75" customHeight="1">
      <c r="D162" s="10"/>
    </row>
    <row r="163" spans="4:4" ht="15.75" customHeight="1">
      <c r="D163" s="10"/>
    </row>
    <row r="164" spans="4:4" ht="15.75" customHeight="1">
      <c r="D164" s="10"/>
    </row>
    <row r="165" spans="4:4" ht="15.75" customHeight="1">
      <c r="D165" s="10"/>
    </row>
    <row r="166" spans="4:4" ht="15.75" customHeight="1">
      <c r="D166" s="10"/>
    </row>
    <row r="167" spans="4:4" ht="15.75" customHeight="1">
      <c r="D167" s="10"/>
    </row>
    <row r="168" spans="4:4" ht="15.75" customHeight="1">
      <c r="D168" s="10"/>
    </row>
    <row r="169" spans="4:4" ht="15.75" customHeight="1">
      <c r="D169" s="10"/>
    </row>
    <row r="170" spans="4:4" ht="15.75" customHeight="1">
      <c r="D170" s="10"/>
    </row>
    <row r="171" spans="4:4" ht="15.75" customHeight="1">
      <c r="D171" s="10"/>
    </row>
    <row r="172" spans="4:4" ht="15.75" customHeight="1">
      <c r="D172" s="10"/>
    </row>
    <row r="173" spans="4:4" ht="15.75" customHeight="1">
      <c r="D173" s="10"/>
    </row>
    <row r="174" spans="4:4" ht="15.75" customHeight="1">
      <c r="D174" s="10"/>
    </row>
    <row r="175" spans="4:4" ht="15.75" customHeight="1">
      <c r="D175" s="10"/>
    </row>
    <row r="176" spans="4:4" ht="15.75" customHeight="1">
      <c r="D176" s="10"/>
    </row>
    <row r="177" spans="4:4" ht="15.75" customHeight="1">
      <c r="D177" s="10"/>
    </row>
    <row r="178" spans="4:4" ht="15.75" customHeight="1">
      <c r="D178" s="10"/>
    </row>
    <row r="179" spans="4:4" ht="15.75" customHeight="1">
      <c r="D179" s="10"/>
    </row>
    <row r="180" spans="4:4" ht="15.75" customHeight="1">
      <c r="D180" s="10"/>
    </row>
    <row r="181" spans="4:4" ht="15.75" customHeight="1">
      <c r="D181" s="10"/>
    </row>
    <row r="182" spans="4:4" ht="15.75" customHeight="1">
      <c r="D182" s="10"/>
    </row>
    <row r="183" spans="4:4" ht="15.75" customHeight="1">
      <c r="D183" s="10"/>
    </row>
    <row r="184" spans="4:4" ht="15.75" customHeight="1">
      <c r="D184" s="10"/>
    </row>
    <row r="185" spans="4:4" ht="15.75" customHeight="1">
      <c r="D185" s="10"/>
    </row>
    <row r="186" spans="4:4" ht="15.75" customHeight="1">
      <c r="D186" s="10"/>
    </row>
    <row r="187" spans="4:4" ht="15.75" customHeight="1">
      <c r="D187" s="10"/>
    </row>
    <row r="188" spans="4:4" ht="15.75" customHeight="1">
      <c r="D188" s="10"/>
    </row>
    <row r="189" spans="4:4" ht="15.75" customHeight="1">
      <c r="D189" s="10"/>
    </row>
    <row r="190" spans="4:4" ht="15.75" customHeight="1">
      <c r="D190" s="10"/>
    </row>
    <row r="191" spans="4:4" ht="15.75" customHeight="1">
      <c r="D191" s="10"/>
    </row>
    <row r="192" spans="4:4" ht="15.75" customHeight="1">
      <c r="D192" s="10"/>
    </row>
    <row r="193" spans="4:4" ht="15.75" customHeight="1">
      <c r="D193" s="10"/>
    </row>
    <row r="194" spans="4:4" ht="15.75" customHeight="1">
      <c r="D194" s="10"/>
    </row>
    <row r="195" spans="4:4" ht="15.75" customHeight="1">
      <c r="D195" s="10"/>
    </row>
    <row r="196" spans="4:4" ht="15.75" customHeight="1">
      <c r="D196" s="10"/>
    </row>
    <row r="197" spans="4:4" ht="15.75" customHeight="1">
      <c r="D197" s="10"/>
    </row>
    <row r="198" spans="4:4" ht="15.75" customHeight="1">
      <c r="D198" s="10"/>
    </row>
    <row r="199" spans="4:4" ht="15.75" customHeight="1">
      <c r="D199" s="10"/>
    </row>
    <row r="200" spans="4:4" ht="15.75" customHeight="1">
      <c r="D200" s="10"/>
    </row>
    <row r="201" spans="4:4" ht="15.75" customHeight="1">
      <c r="D201" s="10"/>
    </row>
    <row r="202" spans="4:4" ht="15.75" customHeight="1">
      <c r="D202" s="10"/>
    </row>
    <row r="203" spans="4:4" ht="15.75" customHeight="1">
      <c r="D203" s="10"/>
    </row>
    <row r="204" spans="4:4" ht="15.75" customHeight="1">
      <c r="D204" s="10"/>
    </row>
    <row r="205" spans="4:4" ht="15.75" customHeight="1">
      <c r="D205" s="10"/>
    </row>
    <row r="206" spans="4:4" ht="15.75" customHeight="1">
      <c r="D206" s="10"/>
    </row>
    <row r="207" spans="4:4" ht="15.75" customHeight="1">
      <c r="D207" s="10"/>
    </row>
    <row r="208" spans="4:4" ht="15.75" customHeight="1">
      <c r="D208" s="10"/>
    </row>
    <row r="209" spans="4:4" ht="15.75" customHeight="1">
      <c r="D209" s="10"/>
    </row>
    <row r="210" spans="4:4" ht="15.75" customHeight="1">
      <c r="D210" s="10"/>
    </row>
    <row r="211" spans="4:4" ht="15.75" customHeight="1">
      <c r="D211" s="10"/>
    </row>
    <row r="212" spans="4:4" ht="15.75" customHeight="1">
      <c r="D212" s="10"/>
    </row>
    <row r="213" spans="4:4" ht="15.75" customHeight="1">
      <c r="D213" s="10"/>
    </row>
    <row r="214" spans="4:4" ht="15.75" customHeight="1">
      <c r="D214" s="10"/>
    </row>
    <row r="215" spans="4:4" ht="15.75" customHeight="1">
      <c r="D215" s="10"/>
    </row>
    <row r="216" spans="4:4" ht="15.75" customHeight="1">
      <c r="D216" s="10"/>
    </row>
    <row r="217" spans="4:4" ht="15.75" customHeight="1">
      <c r="D217" s="10"/>
    </row>
    <row r="218" spans="4:4" ht="15.75" customHeight="1">
      <c r="D218" s="10"/>
    </row>
    <row r="219" spans="4:4" ht="15.75" customHeight="1">
      <c r="D219" s="10"/>
    </row>
    <row r="220" spans="4:4" ht="15.75" customHeight="1">
      <c r="D220" s="10"/>
    </row>
    <row r="221" spans="4:4" ht="15.75" customHeight="1">
      <c r="D221" s="10"/>
    </row>
    <row r="222" spans="4:4" ht="15.75" customHeight="1">
      <c r="D222" s="10"/>
    </row>
    <row r="223" spans="4:4" ht="15.75" customHeight="1">
      <c r="D223" s="10"/>
    </row>
    <row r="224" spans="4:4" ht="15.75" customHeight="1">
      <c r="D224" s="10"/>
    </row>
    <row r="225" spans="4:4" ht="15.75" customHeight="1">
      <c r="D225" s="10"/>
    </row>
    <row r="226" spans="4:4" ht="15.75" customHeight="1">
      <c r="D226" s="10"/>
    </row>
    <row r="227" spans="4:4" ht="15.75" customHeight="1">
      <c r="D227" s="10"/>
    </row>
    <row r="228" spans="4:4" ht="15.75" customHeight="1">
      <c r="D228" s="10"/>
    </row>
    <row r="229" spans="4:4" ht="15.75" customHeight="1">
      <c r="D229" s="10"/>
    </row>
    <row r="230" spans="4:4" ht="15.75" customHeight="1">
      <c r="D230" s="10"/>
    </row>
    <row r="231" spans="4:4" ht="15.75" customHeight="1">
      <c r="D231" s="10"/>
    </row>
    <row r="232" spans="4:4" ht="15.75" customHeight="1">
      <c r="D232" s="10"/>
    </row>
    <row r="233" spans="4:4" ht="15.75" customHeight="1">
      <c r="D233" s="10"/>
    </row>
    <row r="234" spans="4:4" ht="15.75" customHeight="1">
      <c r="D234" s="10"/>
    </row>
    <row r="235" spans="4:4" ht="15.75" customHeight="1">
      <c r="D235" s="10"/>
    </row>
    <row r="236" spans="4:4" ht="15.75" customHeight="1">
      <c r="D236" s="10"/>
    </row>
    <row r="237" spans="4:4" ht="15.75" customHeight="1">
      <c r="D237" s="10"/>
    </row>
    <row r="238" spans="4:4" ht="15.75" customHeight="1">
      <c r="D238" s="10"/>
    </row>
    <row r="239" spans="4:4" ht="15.75" customHeight="1">
      <c r="D239" s="10"/>
    </row>
    <row r="240" spans="4:4" ht="15.75" customHeight="1">
      <c r="D240" s="10"/>
    </row>
    <row r="241" spans="4:4" ht="15.75" customHeight="1">
      <c r="D241" s="10"/>
    </row>
    <row r="242" spans="4:4" ht="15.75" customHeight="1">
      <c r="D242" s="10"/>
    </row>
    <row r="243" spans="4:4" ht="15.75" customHeight="1">
      <c r="D243" s="10"/>
    </row>
    <row r="244" spans="4:4" ht="15.75" customHeight="1">
      <c r="D244" s="10"/>
    </row>
    <row r="245" spans="4:4" ht="15.75" customHeight="1">
      <c r="D245" s="10"/>
    </row>
    <row r="246" spans="4:4" ht="15.75" customHeight="1">
      <c r="D246" s="10"/>
    </row>
    <row r="247" spans="4:4" ht="15.75" customHeight="1">
      <c r="D247" s="10"/>
    </row>
    <row r="248" spans="4:4" ht="15.75" customHeight="1">
      <c r="D248" s="10"/>
    </row>
    <row r="249" spans="4:4" ht="15.75" customHeight="1">
      <c r="D249" s="10"/>
    </row>
    <row r="250" spans="4:4" ht="15.75" customHeight="1">
      <c r="D250" s="10"/>
    </row>
    <row r="251" spans="4:4" ht="15.75" customHeight="1">
      <c r="D251" s="10"/>
    </row>
    <row r="252" spans="4:4" ht="15.75" customHeight="1">
      <c r="D252" s="10"/>
    </row>
    <row r="253" spans="4:4" ht="15.75" customHeight="1">
      <c r="D253" s="10"/>
    </row>
    <row r="254" spans="4:4" ht="15.75" customHeight="1">
      <c r="D254" s="10"/>
    </row>
    <row r="255" spans="4:4" ht="15.75" customHeight="1">
      <c r="D255" s="10"/>
    </row>
    <row r="256" spans="4:4" ht="15.75" customHeight="1">
      <c r="D256" s="10"/>
    </row>
    <row r="257" spans="4:4" ht="15.75" customHeight="1">
      <c r="D257" s="10"/>
    </row>
    <row r="258" spans="4:4" ht="15.75" customHeight="1">
      <c r="D258" s="10"/>
    </row>
    <row r="259" spans="4:4" ht="15.75" customHeight="1">
      <c r="D259" s="10"/>
    </row>
    <row r="260" spans="4:4" ht="15.75" customHeight="1">
      <c r="D260" s="10"/>
    </row>
    <row r="261" spans="4:4" ht="15.75" customHeight="1">
      <c r="D261" s="10"/>
    </row>
    <row r="262" spans="4:4" ht="15.75" customHeight="1">
      <c r="D262" s="10"/>
    </row>
    <row r="263" spans="4:4" ht="15.75" customHeight="1">
      <c r="D263" s="10"/>
    </row>
    <row r="264" spans="4:4" ht="15.75" customHeight="1">
      <c r="D264" s="10"/>
    </row>
    <row r="265" spans="4:4" ht="15.75" customHeight="1">
      <c r="D265" s="10"/>
    </row>
    <row r="266" spans="4:4" ht="15.75" customHeight="1">
      <c r="D266" s="10"/>
    </row>
    <row r="267" spans="4:4" ht="15.75" customHeight="1">
      <c r="D267" s="10"/>
    </row>
    <row r="268" spans="4:4" ht="15.75" customHeight="1">
      <c r="D268" s="10"/>
    </row>
    <row r="269" spans="4:4" ht="15.75" customHeight="1">
      <c r="D269" s="10"/>
    </row>
    <row r="270" spans="4:4" ht="15.75" customHeight="1">
      <c r="D270" s="10"/>
    </row>
    <row r="271" spans="4:4" ht="15.75" customHeight="1">
      <c r="D271" s="10"/>
    </row>
    <row r="272" spans="4:4" ht="15.75" customHeight="1">
      <c r="D272" s="10"/>
    </row>
    <row r="273" spans="4:4" ht="15.75" customHeight="1">
      <c r="D273" s="10"/>
    </row>
    <row r="274" spans="4:4" ht="15.75" customHeight="1">
      <c r="D274" s="10"/>
    </row>
    <row r="275" spans="4:4" ht="15.75" customHeight="1">
      <c r="D275" s="10"/>
    </row>
    <row r="276" spans="4:4" ht="15.75" customHeight="1">
      <c r="D276" s="10"/>
    </row>
    <row r="277" spans="4:4" ht="15.75" customHeight="1">
      <c r="D277" s="10"/>
    </row>
    <row r="278" spans="4:4" ht="15.75" customHeight="1">
      <c r="D278" s="10"/>
    </row>
    <row r="279" spans="4:4" ht="15.75" customHeight="1">
      <c r="D279" s="10"/>
    </row>
    <row r="280" spans="4:4" ht="15.75" customHeight="1">
      <c r="D280" s="10"/>
    </row>
    <row r="281" spans="4:4" ht="15.75" customHeight="1">
      <c r="D281" s="10"/>
    </row>
    <row r="282" spans="4:4" ht="15.75" customHeight="1">
      <c r="D282" s="10"/>
    </row>
    <row r="283" spans="4:4" ht="15.75" customHeight="1">
      <c r="D283" s="10"/>
    </row>
    <row r="284" spans="4:4" ht="15.75" customHeight="1">
      <c r="D284" s="10"/>
    </row>
    <row r="285" spans="4:4" ht="15.75" customHeight="1">
      <c r="D285" s="10"/>
    </row>
    <row r="286" spans="4:4" ht="15.75" customHeight="1">
      <c r="D286" s="10"/>
    </row>
    <row r="287" spans="4:4" ht="15.75" customHeight="1">
      <c r="D287" s="10"/>
    </row>
    <row r="288" spans="4:4" ht="15.75" customHeight="1">
      <c r="D288" s="10"/>
    </row>
    <row r="289" spans="4:4" ht="15.75" customHeight="1">
      <c r="D289" s="10"/>
    </row>
    <row r="290" spans="4:4" ht="15.75" customHeight="1">
      <c r="D290" s="10"/>
    </row>
    <row r="291" spans="4:4" ht="15.75" customHeight="1">
      <c r="D291" s="10"/>
    </row>
    <row r="292" spans="4:4" ht="15.75" customHeight="1">
      <c r="D292" s="10"/>
    </row>
    <row r="293" spans="4:4" ht="15.75" customHeight="1">
      <c r="D293" s="10"/>
    </row>
    <row r="294" spans="4:4" ht="15.75" customHeight="1">
      <c r="D294" s="10"/>
    </row>
    <row r="295" spans="4:4" ht="15.75" customHeight="1">
      <c r="D295" s="10"/>
    </row>
    <row r="296" spans="4:4" ht="15.75" customHeight="1">
      <c r="D296" s="10"/>
    </row>
    <row r="297" spans="4:4" ht="15.75" customHeight="1">
      <c r="D297" s="10"/>
    </row>
    <row r="298" spans="4:4" ht="15.75" customHeight="1">
      <c r="D298" s="10"/>
    </row>
    <row r="299" spans="4:4" ht="15.75" customHeight="1">
      <c r="D299" s="10"/>
    </row>
    <row r="300" spans="4:4" ht="15.75" customHeight="1">
      <c r="D300" s="10"/>
    </row>
    <row r="301" spans="4:4" ht="15.75" customHeight="1">
      <c r="D301" s="10"/>
    </row>
    <row r="302" spans="4:4" ht="15.75" customHeight="1">
      <c r="D302" s="10"/>
    </row>
    <row r="303" spans="4:4" ht="15.75" customHeight="1">
      <c r="D303" s="10"/>
    </row>
    <row r="304" spans="4:4" ht="15.75" customHeight="1">
      <c r="D304" s="10"/>
    </row>
    <row r="305" spans="4:4" ht="15.75" customHeight="1">
      <c r="D305" s="10"/>
    </row>
    <row r="306" spans="4:4" ht="15.75" customHeight="1">
      <c r="D306" s="10"/>
    </row>
    <row r="307" spans="4:4" ht="15.75" customHeight="1">
      <c r="D307" s="10"/>
    </row>
    <row r="308" spans="4:4" ht="15.75" customHeight="1">
      <c r="D308" s="10"/>
    </row>
    <row r="309" spans="4:4" ht="15.75" customHeight="1">
      <c r="D309" s="10"/>
    </row>
    <row r="310" spans="4:4" ht="15.75" customHeight="1">
      <c r="D310" s="10"/>
    </row>
    <row r="311" spans="4:4" ht="15.75" customHeight="1">
      <c r="D311" s="10"/>
    </row>
    <row r="312" spans="4:4" ht="15.75" customHeight="1">
      <c r="D312" s="10"/>
    </row>
    <row r="313" spans="4:4" ht="15.75" customHeight="1">
      <c r="D313" s="10"/>
    </row>
    <row r="314" spans="4:4" ht="15.75" customHeight="1">
      <c r="D314" s="10"/>
    </row>
    <row r="315" spans="4:4" ht="15.75" customHeight="1">
      <c r="D315" s="10"/>
    </row>
    <row r="316" spans="4:4" ht="15.75" customHeight="1">
      <c r="D316" s="10"/>
    </row>
    <row r="317" spans="4:4" ht="15.75" customHeight="1">
      <c r="D317" s="10"/>
    </row>
    <row r="318" spans="4:4" ht="15.75" customHeight="1">
      <c r="D318" s="10"/>
    </row>
    <row r="319" spans="4:4" ht="15.75" customHeight="1">
      <c r="D319" s="10"/>
    </row>
    <row r="320" spans="4:4" ht="15.75" customHeight="1">
      <c r="D320" s="10"/>
    </row>
    <row r="321" spans="4:4" ht="15.75" customHeight="1">
      <c r="D321" s="10"/>
    </row>
    <row r="322" spans="4:4" ht="15.75" customHeight="1">
      <c r="D322" s="10"/>
    </row>
    <row r="323" spans="4:4" ht="15.75" customHeight="1">
      <c r="D323" s="10"/>
    </row>
    <row r="324" spans="4:4" ht="15.75" customHeight="1">
      <c r="D324" s="10"/>
    </row>
    <row r="325" spans="4:4" ht="15.75" customHeight="1">
      <c r="D325" s="10"/>
    </row>
    <row r="326" spans="4:4" ht="15.75" customHeight="1">
      <c r="D326" s="10"/>
    </row>
    <row r="327" spans="4:4" ht="15.75" customHeight="1">
      <c r="D327" s="10"/>
    </row>
    <row r="328" spans="4:4" ht="15.75" customHeight="1">
      <c r="D328" s="10"/>
    </row>
    <row r="329" spans="4:4" ht="15.75" customHeight="1">
      <c r="D329" s="10"/>
    </row>
    <row r="330" spans="4:4" ht="15.75" customHeight="1">
      <c r="D330" s="10"/>
    </row>
    <row r="331" spans="4:4" ht="15.75" customHeight="1">
      <c r="D331" s="10"/>
    </row>
    <row r="332" spans="4:4" ht="15.75" customHeight="1">
      <c r="D332" s="10"/>
    </row>
    <row r="333" spans="4:4" ht="15.75" customHeight="1">
      <c r="D333" s="10"/>
    </row>
    <row r="334" spans="4:4" ht="15.75" customHeight="1">
      <c r="D334" s="10"/>
    </row>
    <row r="335" spans="4:4" ht="15.75" customHeight="1">
      <c r="D335" s="10"/>
    </row>
    <row r="336" spans="4:4" ht="15.75" customHeight="1">
      <c r="D336" s="10"/>
    </row>
    <row r="337" spans="4:4" ht="15.75" customHeight="1">
      <c r="D337" s="10"/>
    </row>
    <row r="338" spans="4:4" ht="15.75" customHeight="1">
      <c r="D338" s="10"/>
    </row>
    <row r="339" spans="4:4" ht="15.75" customHeight="1">
      <c r="D339" s="10"/>
    </row>
    <row r="340" spans="4:4" ht="15.75" customHeight="1">
      <c r="D340" s="10"/>
    </row>
    <row r="341" spans="4:4" ht="15.75" customHeight="1">
      <c r="D341" s="10"/>
    </row>
    <row r="342" spans="4:4" ht="15.75" customHeight="1">
      <c r="D342" s="10"/>
    </row>
    <row r="343" spans="4:4" ht="15.75" customHeight="1">
      <c r="D343" s="10"/>
    </row>
    <row r="344" spans="4:4" ht="15.75" customHeight="1">
      <c r="D344" s="10"/>
    </row>
    <row r="345" spans="4:4" ht="15.75" customHeight="1">
      <c r="D345" s="10"/>
    </row>
    <row r="346" spans="4:4" ht="15.75" customHeight="1">
      <c r="D346" s="10"/>
    </row>
    <row r="347" spans="4:4" ht="15.75" customHeight="1">
      <c r="D347" s="10"/>
    </row>
    <row r="348" spans="4:4" ht="15.75" customHeight="1">
      <c r="D348" s="10"/>
    </row>
    <row r="349" spans="4:4" ht="15.75" customHeight="1">
      <c r="D349" s="10"/>
    </row>
    <row r="350" spans="4:4" ht="15.75" customHeight="1">
      <c r="D350" s="10"/>
    </row>
    <row r="351" spans="4:4" ht="15.75" customHeight="1">
      <c r="D351" s="10"/>
    </row>
    <row r="352" spans="4:4" ht="15.75" customHeight="1">
      <c r="D352" s="10"/>
    </row>
    <row r="353" spans="4:4" ht="15.75" customHeight="1">
      <c r="D353" s="10"/>
    </row>
    <row r="354" spans="4:4" ht="15.75" customHeight="1">
      <c r="D354" s="10"/>
    </row>
    <row r="355" spans="4:4" ht="15.75" customHeight="1">
      <c r="D355" s="10"/>
    </row>
    <row r="356" spans="4:4" ht="15.75" customHeight="1">
      <c r="D356" s="10"/>
    </row>
    <row r="357" spans="4:4" ht="15.75" customHeight="1">
      <c r="D357" s="10"/>
    </row>
    <row r="358" spans="4:4" ht="15.75" customHeight="1">
      <c r="D358" s="10"/>
    </row>
    <row r="359" spans="4:4" ht="15.75" customHeight="1">
      <c r="D359" s="10"/>
    </row>
    <row r="360" spans="4:4" ht="15.75" customHeight="1">
      <c r="D360" s="10"/>
    </row>
    <row r="361" spans="4:4" ht="15.75" customHeight="1">
      <c r="D361" s="10"/>
    </row>
    <row r="362" spans="4:4" ht="15.75" customHeight="1">
      <c r="D362" s="10"/>
    </row>
    <row r="363" spans="4:4" ht="15.75" customHeight="1">
      <c r="D363" s="10"/>
    </row>
    <row r="364" spans="4:4" ht="15.75" customHeight="1">
      <c r="D364" s="10"/>
    </row>
    <row r="365" spans="4:4" ht="15.75" customHeight="1">
      <c r="D365" s="10"/>
    </row>
    <row r="366" spans="4:4" ht="15.75" customHeight="1">
      <c r="D366" s="10"/>
    </row>
    <row r="367" spans="4:4" ht="15.75" customHeight="1">
      <c r="D367" s="10"/>
    </row>
    <row r="368" spans="4:4" ht="15.75" customHeight="1">
      <c r="D368" s="10"/>
    </row>
    <row r="369" spans="4:4" ht="15.75" customHeight="1">
      <c r="D369" s="10"/>
    </row>
    <row r="370" spans="4:4" ht="15.75" customHeight="1">
      <c r="D370" s="10"/>
    </row>
    <row r="371" spans="4:4" ht="15.75" customHeight="1">
      <c r="D371" s="10"/>
    </row>
    <row r="372" spans="4:4" ht="15.75" customHeight="1">
      <c r="D372" s="10"/>
    </row>
    <row r="373" spans="4:4" ht="15.75" customHeight="1">
      <c r="D373" s="10"/>
    </row>
    <row r="374" spans="4:4" ht="15.75" customHeight="1">
      <c r="D374" s="10"/>
    </row>
    <row r="375" spans="4:4" ht="15.75" customHeight="1">
      <c r="D375" s="10"/>
    </row>
    <row r="376" spans="4:4" ht="15.75" customHeight="1">
      <c r="D376" s="10"/>
    </row>
    <row r="377" spans="4:4" ht="15.75" customHeight="1">
      <c r="D377" s="10"/>
    </row>
    <row r="378" spans="4:4" ht="15.75" customHeight="1">
      <c r="D378" s="10"/>
    </row>
    <row r="379" spans="4:4" ht="15.75" customHeight="1">
      <c r="D379" s="10"/>
    </row>
    <row r="380" spans="4:4" ht="15.75" customHeight="1">
      <c r="D380" s="10"/>
    </row>
    <row r="381" spans="4:4" ht="15.75" customHeight="1">
      <c r="D381" s="10"/>
    </row>
    <row r="382" spans="4:4" ht="15.75" customHeight="1">
      <c r="D382" s="10"/>
    </row>
    <row r="383" spans="4:4" ht="15.75" customHeight="1">
      <c r="D383" s="10"/>
    </row>
    <row r="384" spans="4:4" ht="15.75" customHeight="1">
      <c r="D384" s="10"/>
    </row>
    <row r="385" spans="4:4" ht="15.75" customHeight="1">
      <c r="D385" s="10"/>
    </row>
    <row r="386" spans="4:4" ht="15.75" customHeight="1">
      <c r="D386" s="10"/>
    </row>
    <row r="387" spans="4:4" ht="15.75" customHeight="1">
      <c r="D387" s="10"/>
    </row>
    <row r="388" spans="4:4" ht="15.75" customHeight="1">
      <c r="D388" s="10"/>
    </row>
    <row r="389" spans="4:4" ht="15.75" customHeight="1">
      <c r="D389" s="10"/>
    </row>
    <row r="390" spans="4:4" ht="15.75" customHeight="1">
      <c r="D390" s="10"/>
    </row>
    <row r="391" spans="4:4" ht="15.75" customHeight="1">
      <c r="D391" s="10"/>
    </row>
    <row r="392" spans="4:4" ht="15.75" customHeight="1">
      <c r="D392" s="10"/>
    </row>
    <row r="393" spans="4:4" ht="15.75" customHeight="1">
      <c r="D393" s="10"/>
    </row>
    <row r="394" spans="4:4" ht="15.75" customHeight="1">
      <c r="D394" s="10"/>
    </row>
    <row r="395" spans="4:4" ht="15.75" customHeight="1">
      <c r="D395" s="10"/>
    </row>
    <row r="396" spans="4:4" ht="15.75" customHeight="1">
      <c r="D396" s="10"/>
    </row>
    <row r="397" spans="4:4" ht="15.75" customHeight="1">
      <c r="D397" s="10"/>
    </row>
    <row r="398" spans="4:4" ht="15.75" customHeight="1">
      <c r="D398" s="10"/>
    </row>
    <row r="399" spans="4:4" ht="15.75" customHeight="1">
      <c r="D399" s="10"/>
    </row>
    <row r="400" spans="4:4" ht="15.75" customHeight="1">
      <c r="D400" s="10"/>
    </row>
    <row r="401" spans="4:4" ht="15.75" customHeight="1">
      <c r="D401" s="10"/>
    </row>
    <row r="402" spans="4:4" ht="15.75" customHeight="1">
      <c r="D402" s="10"/>
    </row>
    <row r="403" spans="4:4" ht="15.75" customHeight="1">
      <c r="D403" s="10"/>
    </row>
    <row r="404" spans="4:4" ht="15.75" customHeight="1">
      <c r="D404" s="10"/>
    </row>
    <row r="405" spans="4:4" ht="15.75" customHeight="1">
      <c r="D405" s="10"/>
    </row>
    <row r="406" spans="4:4" ht="15.75" customHeight="1">
      <c r="D406" s="10"/>
    </row>
    <row r="407" spans="4:4" ht="15.75" customHeight="1">
      <c r="D407" s="10"/>
    </row>
    <row r="408" spans="4:4" ht="15.75" customHeight="1">
      <c r="D408" s="10"/>
    </row>
    <row r="409" spans="4:4" ht="15.75" customHeight="1">
      <c r="D409" s="10"/>
    </row>
    <row r="410" spans="4:4" ht="15.75" customHeight="1">
      <c r="D410" s="10"/>
    </row>
    <row r="411" spans="4:4" ht="15.75" customHeight="1">
      <c r="D411" s="10"/>
    </row>
    <row r="412" spans="4:4" ht="15.75" customHeight="1">
      <c r="D412" s="10"/>
    </row>
    <row r="413" spans="4:4" ht="15.75" customHeight="1">
      <c r="D413" s="10"/>
    </row>
    <row r="414" spans="4:4" ht="15.75" customHeight="1">
      <c r="D414" s="10"/>
    </row>
    <row r="415" spans="4:4" ht="15.75" customHeight="1">
      <c r="D415" s="10"/>
    </row>
    <row r="416" spans="4:4" ht="15.75" customHeight="1">
      <c r="D416" s="10"/>
    </row>
    <row r="417" spans="4:4" ht="15.75" customHeight="1">
      <c r="D417" s="10"/>
    </row>
    <row r="418" spans="4:4" ht="15.75" customHeight="1">
      <c r="D418" s="10"/>
    </row>
    <row r="419" spans="4:4" ht="15.75" customHeight="1">
      <c r="D419" s="10"/>
    </row>
    <row r="420" spans="4:4" ht="15.75" customHeight="1">
      <c r="D420" s="10"/>
    </row>
    <row r="421" spans="4:4" ht="15.75" customHeight="1">
      <c r="D421" s="10"/>
    </row>
    <row r="422" spans="4:4" ht="15.75" customHeight="1">
      <c r="D422" s="10"/>
    </row>
    <row r="423" spans="4:4" ht="15.75" customHeight="1">
      <c r="D423" s="10"/>
    </row>
    <row r="424" spans="4:4" ht="15.75" customHeight="1">
      <c r="D424" s="10"/>
    </row>
    <row r="425" spans="4:4" ht="15.75" customHeight="1">
      <c r="D425" s="10"/>
    </row>
    <row r="426" spans="4:4" ht="15.75" customHeight="1">
      <c r="D426" s="10"/>
    </row>
    <row r="427" spans="4:4" ht="15.75" customHeight="1">
      <c r="D427" s="10"/>
    </row>
    <row r="428" spans="4:4" ht="15.75" customHeight="1">
      <c r="D428" s="10"/>
    </row>
    <row r="429" spans="4:4" ht="15.75" customHeight="1">
      <c r="D429" s="10"/>
    </row>
    <row r="430" spans="4:4" ht="15.75" customHeight="1">
      <c r="D430" s="10"/>
    </row>
    <row r="431" spans="4:4" ht="15.75" customHeight="1">
      <c r="D431" s="10"/>
    </row>
    <row r="432" spans="4:4" ht="15.75" customHeight="1">
      <c r="D432" s="10"/>
    </row>
    <row r="433" spans="4:4" ht="15.75" customHeight="1">
      <c r="D433" s="10"/>
    </row>
    <row r="434" spans="4:4" ht="15.75" customHeight="1">
      <c r="D434" s="10"/>
    </row>
    <row r="435" spans="4:4" ht="15.75" customHeight="1">
      <c r="D435" s="10"/>
    </row>
    <row r="436" spans="4:4" ht="15.75" customHeight="1">
      <c r="D436" s="10"/>
    </row>
    <row r="437" spans="4:4" ht="15.75" customHeight="1">
      <c r="D437" s="10"/>
    </row>
    <row r="438" spans="4:4" ht="15.75" customHeight="1">
      <c r="D438" s="10"/>
    </row>
    <row r="439" spans="4:4" ht="15.75" customHeight="1">
      <c r="D439" s="10"/>
    </row>
    <row r="440" spans="4:4" ht="15.75" customHeight="1">
      <c r="D440" s="10"/>
    </row>
    <row r="441" spans="4:4" ht="15.75" customHeight="1">
      <c r="D441" s="10"/>
    </row>
    <row r="442" spans="4:4" ht="15.75" customHeight="1">
      <c r="D442" s="10"/>
    </row>
    <row r="443" spans="4:4" ht="15.75" customHeight="1">
      <c r="D443" s="10"/>
    </row>
    <row r="444" spans="4:4" ht="15.75" customHeight="1">
      <c r="D444" s="10"/>
    </row>
    <row r="445" spans="4:4" ht="15.75" customHeight="1">
      <c r="D445" s="10"/>
    </row>
    <row r="446" spans="4:4" ht="15.75" customHeight="1">
      <c r="D446" s="10"/>
    </row>
    <row r="447" spans="4:4" ht="15.75" customHeight="1">
      <c r="D447" s="10"/>
    </row>
    <row r="448" spans="4:4" ht="15.75" customHeight="1">
      <c r="D448" s="10"/>
    </row>
    <row r="449" spans="4:4" ht="15.75" customHeight="1">
      <c r="D449" s="10"/>
    </row>
    <row r="450" spans="4:4" ht="15.75" customHeight="1">
      <c r="D450" s="10"/>
    </row>
    <row r="451" spans="4:4" ht="15.75" customHeight="1">
      <c r="D451" s="10"/>
    </row>
    <row r="452" spans="4:4" ht="15.75" customHeight="1">
      <c r="D452" s="10"/>
    </row>
    <row r="453" spans="4:4" ht="15.75" customHeight="1">
      <c r="D453" s="10"/>
    </row>
    <row r="454" spans="4:4" ht="15.75" customHeight="1">
      <c r="D454" s="10"/>
    </row>
    <row r="455" spans="4:4" ht="15.75" customHeight="1">
      <c r="D455" s="10"/>
    </row>
    <row r="456" spans="4:4" ht="15.75" customHeight="1">
      <c r="D456" s="10"/>
    </row>
    <row r="457" spans="4:4" ht="15.75" customHeight="1">
      <c r="D457" s="10"/>
    </row>
    <row r="458" spans="4:4" ht="15.75" customHeight="1">
      <c r="D458" s="10"/>
    </row>
    <row r="459" spans="4:4" ht="15.75" customHeight="1">
      <c r="D459" s="10"/>
    </row>
    <row r="460" spans="4:4" ht="15.75" customHeight="1">
      <c r="D460" s="10"/>
    </row>
    <row r="461" spans="4:4" ht="15.75" customHeight="1">
      <c r="D461" s="10"/>
    </row>
    <row r="462" spans="4:4" ht="15.75" customHeight="1">
      <c r="D462" s="10"/>
    </row>
    <row r="463" spans="4:4" ht="15.75" customHeight="1">
      <c r="D463" s="10"/>
    </row>
    <row r="464" spans="4:4" ht="15.75" customHeight="1">
      <c r="D464" s="10"/>
    </row>
    <row r="465" spans="4:4" ht="15.75" customHeight="1">
      <c r="D465" s="10"/>
    </row>
    <row r="466" spans="4:4" ht="15.75" customHeight="1">
      <c r="D466" s="10"/>
    </row>
    <row r="467" spans="4:4" ht="15.75" customHeight="1">
      <c r="D467" s="10"/>
    </row>
    <row r="468" spans="4:4" ht="15.75" customHeight="1">
      <c r="D468" s="10"/>
    </row>
    <row r="469" spans="4:4" ht="15.75" customHeight="1">
      <c r="D469" s="10"/>
    </row>
    <row r="470" spans="4:4" ht="15.75" customHeight="1">
      <c r="D470" s="10"/>
    </row>
    <row r="471" spans="4:4" ht="15.75" customHeight="1">
      <c r="D471" s="10"/>
    </row>
    <row r="472" spans="4:4" ht="15.75" customHeight="1">
      <c r="D472" s="10"/>
    </row>
    <row r="473" spans="4:4" ht="15.75" customHeight="1">
      <c r="D473" s="10"/>
    </row>
    <row r="474" spans="4:4" ht="15.75" customHeight="1">
      <c r="D474" s="10"/>
    </row>
    <row r="475" spans="4:4" ht="15.75" customHeight="1">
      <c r="D475" s="10"/>
    </row>
    <row r="476" spans="4:4" ht="15.75" customHeight="1">
      <c r="D476" s="10"/>
    </row>
    <row r="477" spans="4:4" ht="15.75" customHeight="1">
      <c r="D477" s="10"/>
    </row>
    <row r="478" spans="4:4" ht="15.75" customHeight="1">
      <c r="D478" s="10"/>
    </row>
    <row r="479" spans="4:4" ht="15.75" customHeight="1">
      <c r="D479" s="10"/>
    </row>
    <row r="480" spans="4:4" ht="15.75" customHeight="1">
      <c r="D480" s="10"/>
    </row>
    <row r="481" spans="4:4" ht="15.75" customHeight="1">
      <c r="D481" s="10"/>
    </row>
    <row r="482" spans="4:4" ht="15.75" customHeight="1">
      <c r="D482" s="10"/>
    </row>
    <row r="483" spans="4:4" ht="15.75" customHeight="1">
      <c r="D483" s="10"/>
    </row>
    <row r="484" spans="4:4" ht="15.75" customHeight="1">
      <c r="D484" s="10"/>
    </row>
    <row r="485" spans="4:4" ht="15.75" customHeight="1">
      <c r="D485" s="10"/>
    </row>
    <row r="486" spans="4:4" ht="15.75" customHeight="1">
      <c r="D486" s="10"/>
    </row>
    <row r="487" spans="4:4" ht="15.75" customHeight="1">
      <c r="D487" s="10"/>
    </row>
    <row r="488" spans="4:4" ht="15.75" customHeight="1">
      <c r="D488" s="10"/>
    </row>
    <row r="489" spans="4:4" ht="15.75" customHeight="1">
      <c r="D489" s="10"/>
    </row>
    <row r="490" spans="4:4" ht="15.75" customHeight="1">
      <c r="D490" s="10"/>
    </row>
    <row r="491" spans="4:4" ht="15.75" customHeight="1">
      <c r="D491" s="10"/>
    </row>
    <row r="492" spans="4:4" ht="15.75" customHeight="1">
      <c r="D492" s="10"/>
    </row>
    <row r="493" spans="4:4" ht="15.75" customHeight="1">
      <c r="D493" s="10"/>
    </row>
    <row r="494" spans="4:4" ht="15.75" customHeight="1">
      <c r="D494" s="10"/>
    </row>
    <row r="495" spans="4:4" ht="15.75" customHeight="1">
      <c r="D495" s="10"/>
    </row>
    <row r="496" spans="4:4" ht="15.75" customHeight="1">
      <c r="D496" s="10"/>
    </row>
    <row r="497" spans="4:4" ht="15.75" customHeight="1">
      <c r="D497" s="10"/>
    </row>
    <row r="498" spans="4:4" ht="15.75" customHeight="1">
      <c r="D498" s="10"/>
    </row>
    <row r="499" spans="4:4" ht="15.75" customHeight="1">
      <c r="D499" s="10"/>
    </row>
    <row r="500" spans="4:4" ht="15.75" customHeight="1">
      <c r="D500" s="10"/>
    </row>
    <row r="501" spans="4:4" ht="15.75" customHeight="1">
      <c r="D501" s="10"/>
    </row>
    <row r="502" spans="4:4" ht="15.75" customHeight="1">
      <c r="D502" s="10"/>
    </row>
    <row r="503" spans="4:4" ht="15.75" customHeight="1">
      <c r="D503" s="10"/>
    </row>
    <row r="504" spans="4:4" ht="15.75" customHeight="1">
      <c r="D504" s="10"/>
    </row>
    <row r="505" spans="4:4" ht="15.75" customHeight="1">
      <c r="D505" s="10"/>
    </row>
    <row r="506" spans="4:4" ht="15.75" customHeight="1">
      <c r="D506" s="10"/>
    </row>
    <row r="507" spans="4:4" ht="15.75" customHeight="1">
      <c r="D507" s="10"/>
    </row>
    <row r="508" spans="4:4" ht="15.75" customHeight="1">
      <c r="D508" s="10"/>
    </row>
    <row r="509" spans="4:4" ht="15.75" customHeight="1">
      <c r="D509" s="10"/>
    </row>
    <row r="510" spans="4:4" ht="15.75" customHeight="1">
      <c r="D510" s="10"/>
    </row>
    <row r="511" spans="4:4" ht="15.75" customHeight="1">
      <c r="D511" s="10"/>
    </row>
    <row r="512" spans="4:4" ht="15.75" customHeight="1">
      <c r="D512" s="10"/>
    </row>
    <row r="513" spans="4:4" ht="15.75" customHeight="1">
      <c r="D513" s="10"/>
    </row>
    <row r="514" spans="4:4" ht="15.75" customHeight="1">
      <c r="D514" s="10"/>
    </row>
    <row r="515" spans="4:4" ht="15.75" customHeight="1">
      <c r="D515" s="10"/>
    </row>
    <row r="516" spans="4:4" ht="15.75" customHeight="1">
      <c r="D516" s="10"/>
    </row>
    <row r="517" spans="4:4" ht="15.75" customHeight="1">
      <c r="D517" s="10"/>
    </row>
    <row r="518" spans="4:4" ht="15.75" customHeight="1">
      <c r="D518" s="10"/>
    </row>
    <row r="519" spans="4:4" ht="15.75" customHeight="1">
      <c r="D519" s="10"/>
    </row>
    <row r="520" spans="4:4" ht="15.75" customHeight="1">
      <c r="D520" s="10"/>
    </row>
    <row r="521" spans="4:4" ht="15.75" customHeight="1">
      <c r="D521" s="10"/>
    </row>
    <row r="522" spans="4:4" ht="15.75" customHeight="1">
      <c r="D522" s="10"/>
    </row>
    <row r="523" spans="4:4" ht="15.75" customHeight="1">
      <c r="D523" s="10"/>
    </row>
    <row r="524" spans="4:4" ht="15.75" customHeight="1">
      <c r="D524" s="10"/>
    </row>
    <row r="525" spans="4:4" ht="15.75" customHeight="1">
      <c r="D525" s="10"/>
    </row>
    <row r="526" spans="4:4" ht="15.75" customHeight="1">
      <c r="D526" s="10"/>
    </row>
    <row r="527" spans="4:4" ht="15.75" customHeight="1">
      <c r="D527" s="10"/>
    </row>
    <row r="528" spans="4:4" ht="15.75" customHeight="1">
      <c r="D528" s="10"/>
    </row>
    <row r="529" spans="4:4" ht="15.75" customHeight="1">
      <c r="D529" s="10"/>
    </row>
    <row r="530" spans="4:4" ht="15.75" customHeight="1">
      <c r="D530" s="10"/>
    </row>
    <row r="531" spans="4:4" ht="15.75" customHeight="1">
      <c r="D531" s="10"/>
    </row>
    <row r="532" spans="4:4" ht="15.75" customHeight="1">
      <c r="D532" s="10"/>
    </row>
    <row r="533" spans="4:4" ht="15.75" customHeight="1">
      <c r="D533" s="10"/>
    </row>
    <row r="534" spans="4:4" ht="15.75" customHeight="1">
      <c r="D534" s="10"/>
    </row>
    <row r="535" spans="4:4" ht="15.75" customHeight="1">
      <c r="D535" s="10"/>
    </row>
    <row r="536" spans="4:4" ht="15.75" customHeight="1">
      <c r="D536" s="10"/>
    </row>
    <row r="537" spans="4:4" ht="15.75" customHeight="1">
      <c r="D537" s="10"/>
    </row>
    <row r="538" spans="4:4" ht="15.75" customHeight="1">
      <c r="D538" s="10"/>
    </row>
    <row r="539" spans="4:4" ht="15.75" customHeight="1">
      <c r="D539" s="10"/>
    </row>
    <row r="540" spans="4:4" ht="15.75" customHeight="1">
      <c r="D540" s="10"/>
    </row>
    <row r="541" spans="4:4" ht="15.75" customHeight="1">
      <c r="D541" s="10"/>
    </row>
    <row r="542" spans="4:4" ht="15.75" customHeight="1">
      <c r="D542" s="10"/>
    </row>
    <row r="543" spans="4:4" ht="15.75" customHeight="1">
      <c r="D543" s="10"/>
    </row>
    <row r="544" spans="4:4" ht="15.75" customHeight="1">
      <c r="D544" s="10"/>
    </row>
    <row r="545" spans="4:4" ht="15.75" customHeight="1">
      <c r="D545" s="10"/>
    </row>
    <row r="546" spans="4:4" ht="15.75" customHeight="1">
      <c r="D546" s="10"/>
    </row>
    <row r="547" spans="4:4" ht="15.75" customHeight="1">
      <c r="D547" s="10"/>
    </row>
    <row r="548" spans="4:4" ht="15.75" customHeight="1">
      <c r="D548" s="10"/>
    </row>
    <row r="549" spans="4:4" ht="15.75" customHeight="1">
      <c r="D549" s="10"/>
    </row>
    <row r="550" spans="4:4" ht="15.75" customHeight="1">
      <c r="D550" s="10"/>
    </row>
    <row r="551" spans="4:4" ht="15.75" customHeight="1">
      <c r="D551" s="10"/>
    </row>
    <row r="552" spans="4:4" ht="15.75" customHeight="1">
      <c r="D552" s="10"/>
    </row>
    <row r="553" spans="4:4" ht="15.75" customHeight="1">
      <c r="D553" s="10"/>
    </row>
    <row r="554" spans="4:4" ht="15.75" customHeight="1">
      <c r="D554" s="10"/>
    </row>
    <row r="555" spans="4:4" ht="15.75" customHeight="1">
      <c r="D555" s="10"/>
    </row>
    <row r="556" spans="4:4" ht="15.75" customHeight="1">
      <c r="D556" s="10"/>
    </row>
    <row r="557" spans="4:4" ht="15.75" customHeight="1">
      <c r="D557" s="10"/>
    </row>
    <row r="558" spans="4:4" ht="15.75" customHeight="1">
      <c r="D558" s="10"/>
    </row>
    <row r="559" spans="4:4" ht="15.75" customHeight="1">
      <c r="D559" s="10"/>
    </row>
    <row r="560" spans="4:4" ht="15.75" customHeight="1">
      <c r="D560" s="10"/>
    </row>
    <row r="561" spans="4:4" ht="15.75" customHeight="1">
      <c r="D561" s="10"/>
    </row>
    <row r="562" spans="4:4" ht="15.75" customHeight="1">
      <c r="D562" s="10"/>
    </row>
    <row r="563" spans="4:4" ht="15.75" customHeight="1">
      <c r="D563" s="10"/>
    </row>
    <row r="564" spans="4:4" ht="15.75" customHeight="1">
      <c r="D564" s="10"/>
    </row>
    <row r="565" spans="4:4" ht="15.75" customHeight="1">
      <c r="D565" s="10"/>
    </row>
    <row r="566" spans="4:4" ht="15.75" customHeight="1">
      <c r="D566" s="10"/>
    </row>
    <row r="567" spans="4:4" ht="15.75" customHeight="1">
      <c r="D567" s="10"/>
    </row>
    <row r="568" spans="4:4" ht="15.75" customHeight="1">
      <c r="D568" s="10"/>
    </row>
    <row r="569" spans="4:4" ht="15.75" customHeight="1">
      <c r="D569" s="10"/>
    </row>
    <row r="570" spans="4:4" ht="15.75" customHeight="1">
      <c r="D570" s="10"/>
    </row>
    <row r="571" spans="4:4" ht="15.75" customHeight="1">
      <c r="D571" s="10"/>
    </row>
    <row r="572" spans="4:4" ht="15.75" customHeight="1">
      <c r="D572" s="10"/>
    </row>
    <row r="573" spans="4:4" ht="15.75" customHeight="1">
      <c r="D573" s="10"/>
    </row>
    <row r="574" spans="4:4" ht="15.75" customHeight="1">
      <c r="D574" s="10"/>
    </row>
    <row r="575" spans="4:4" ht="15.75" customHeight="1">
      <c r="D575" s="10"/>
    </row>
    <row r="576" spans="4:4" ht="15.75" customHeight="1">
      <c r="D576" s="10"/>
    </row>
    <row r="577" spans="4:4" ht="15.75" customHeight="1">
      <c r="D577" s="10"/>
    </row>
    <row r="578" spans="4:4" ht="15.75" customHeight="1">
      <c r="D578" s="10"/>
    </row>
    <row r="579" spans="4:4" ht="15.75" customHeight="1">
      <c r="D579" s="10"/>
    </row>
    <row r="580" spans="4:4" ht="15.75" customHeight="1">
      <c r="D580" s="10"/>
    </row>
    <row r="581" spans="4:4" ht="15.75" customHeight="1">
      <c r="D581" s="10"/>
    </row>
    <row r="582" spans="4:4" ht="15.75" customHeight="1">
      <c r="D582" s="10"/>
    </row>
    <row r="583" spans="4:4" ht="15.75" customHeight="1">
      <c r="D583" s="10"/>
    </row>
    <row r="584" spans="4:4" ht="15.75" customHeight="1">
      <c r="D584" s="10"/>
    </row>
    <row r="585" spans="4:4" ht="15.75" customHeight="1">
      <c r="D585" s="10"/>
    </row>
    <row r="586" spans="4:4" ht="15.75" customHeight="1">
      <c r="D586" s="10"/>
    </row>
    <row r="587" spans="4:4" ht="15.75" customHeight="1">
      <c r="D587" s="10"/>
    </row>
    <row r="588" spans="4:4" ht="15.75" customHeight="1">
      <c r="D588" s="10"/>
    </row>
    <row r="589" spans="4:4" ht="15.75" customHeight="1">
      <c r="D589" s="10"/>
    </row>
    <row r="590" spans="4:4" ht="15.75" customHeight="1">
      <c r="D590" s="10"/>
    </row>
    <row r="591" spans="4:4" ht="15.75" customHeight="1">
      <c r="D591" s="10"/>
    </row>
    <row r="592" spans="4:4" ht="15.75" customHeight="1">
      <c r="D592" s="10"/>
    </row>
    <row r="593" spans="4:4" ht="15.75" customHeight="1">
      <c r="D593" s="10"/>
    </row>
    <row r="594" spans="4:4" ht="15.75" customHeight="1">
      <c r="D594" s="10"/>
    </row>
    <row r="595" spans="4:4" ht="15.75" customHeight="1">
      <c r="D595" s="10"/>
    </row>
    <row r="596" spans="4:4" ht="15.75" customHeight="1">
      <c r="D596" s="10"/>
    </row>
    <row r="597" spans="4:4" ht="15.75" customHeight="1">
      <c r="D597" s="10"/>
    </row>
    <row r="598" spans="4:4" ht="15.75" customHeight="1">
      <c r="D598" s="10"/>
    </row>
    <row r="599" spans="4:4" ht="15.75" customHeight="1">
      <c r="D599" s="10"/>
    </row>
    <row r="600" spans="4:4" ht="15.75" customHeight="1">
      <c r="D600" s="10"/>
    </row>
    <row r="601" spans="4:4" ht="15.75" customHeight="1">
      <c r="D601" s="10"/>
    </row>
    <row r="602" spans="4:4" ht="15.75" customHeight="1">
      <c r="D602" s="10"/>
    </row>
    <row r="603" spans="4:4" ht="15.75" customHeight="1">
      <c r="D603" s="10"/>
    </row>
    <row r="604" spans="4:4" ht="15.75" customHeight="1">
      <c r="D604" s="10"/>
    </row>
    <row r="605" spans="4:4" ht="15.75" customHeight="1">
      <c r="D605" s="10"/>
    </row>
    <row r="606" spans="4:4" ht="15.75" customHeight="1">
      <c r="D606" s="10"/>
    </row>
    <row r="607" spans="4:4" ht="15.75" customHeight="1">
      <c r="D607" s="10"/>
    </row>
    <row r="608" spans="4:4" ht="15.75" customHeight="1">
      <c r="D608" s="10"/>
    </row>
    <row r="609" spans="4:4" ht="15.75" customHeight="1">
      <c r="D609" s="10"/>
    </row>
    <row r="610" spans="4:4" ht="15.75" customHeight="1">
      <c r="D610" s="10"/>
    </row>
    <row r="611" spans="4:4" ht="15.75" customHeight="1">
      <c r="D611" s="10"/>
    </row>
    <row r="612" spans="4:4" ht="15.75" customHeight="1">
      <c r="D612" s="10"/>
    </row>
    <row r="613" spans="4:4" ht="15.75" customHeight="1">
      <c r="D613" s="10"/>
    </row>
    <row r="614" spans="4:4" ht="15.75" customHeight="1">
      <c r="D614" s="10"/>
    </row>
    <row r="615" spans="4:4" ht="15.75" customHeight="1">
      <c r="D615" s="10"/>
    </row>
    <row r="616" spans="4:4" ht="15.75" customHeight="1">
      <c r="D616" s="10"/>
    </row>
    <row r="617" spans="4:4" ht="15.75" customHeight="1">
      <c r="D617" s="10"/>
    </row>
    <row r="618" spans="4:4" ht="15.75" customHeight="1">
      <c r="D618" s="10"/>
    </row>
    <row r="619" spans="4:4" ht="15.75" customHeight="1">
      <c r="D619" s="10"/>
    </row>
    <row r="620" spans="4:4" ht="15.75" customHeight="1">
      <c r="D620" s="10"/>
    </row>
    <row r="621" spans="4:4" ht="15.75" customHeight="1">
      <c r="D621" s="10"/>
    </row>
    <row r="622" spans="4:4" ht="15.75" customHeight="1">
      <c r="D622" s="10"/>
    </row>
    <row r="623" spans="4:4" ht="15.75" customHeight="1">
      <c r="D623" s="10"/>
    </row>
    <row r="624" spans="4:4" ht="15.75" customHeight="1">
      <c r="D624" s="10"/>
    </row>
    <row r="625" spans="4:4" ht="15.75" customHeight="1">
      <c r="D625" s="10"/>
    </row>
    <row r="626" spans="4:4" ht="15.75" customHeight="1">
      <c r="D626" s="10"/>
    </row>
    <row r="627" spans="4:4" ht="15.75" customHeight="1">
      <c r="D627" s="10"/>
    </row>
    <row r="628" spans="4:4" ht="15.75" customHeight="1">
      <c r="D628" s="10"/>
    </row>
    <row r="629" spans="4:4" ht="15.75" customHeight="1">
      <c r="D629" s="10"/>
    </row>
    <row r="630" spans="4:4" ht="15.75" customHeight="1">
      <c r="D630" s="10"/>
    </row>
    <row r="631" spans="4:4" ht="15.75" customHeight="1">
      <c r="D631" s="10"/>
    </row>
    <row r="632" spans="4:4" ht="15.75" customHeight="1">
      <c r="D632" s="10"/>
    </row>
    <row r="633" spans="4:4" ht="15.75" customHeight="1">
      <c r="D633" s="10"/>
    </row>
    <row r="634" spans="4:4" ht="15.75" customHeight="1">
      <c r="D634" s="10"/>
    </row>
    <row r="635" spans="4:4" ht="15.75" customHeight="1">
      <c r="D635" s="10"/>
    </row>
    <row r="636" spans="4:4" ht="15.75" customHeight="1">
      <c r="D636" s="10"/>
    </row>
    <row r="637" spans="4:4" ht="15.75" customHeight="1">
      <c r="D637" s="10"/>
    </row>
    <row r="638" spans="4:4" ht="15.75" customHeight="1">
      <c r="D638" s="10"/>
    </row>
    <row r="639" spans="4:4" ht="15.75" customHeight="1">
      <c r="D639" s="10"/>
    </row>
    <row r="640" spans="4:4" ht="15.75" customHeight="1">
      <c r="D640" s="10"/>
    </row>
    <row r="641" spans="4:4" ht="15.75" customHeight="1">
      <c r="D641" s="10"/>
    </row>
    <row r="642" spans="4:4" ht="15.75" customHeight="1">
      <c r="D642" s="10"/>
    </row>
    <row r="643" spans="4:4" ht="15.75" customHeight="1">
      <c r="D643" s="10"/>
    </row>
    <row r="644" spans="4:4" ht="15.75" customHeight="1">
      <c r="D644" s="10"/>
    </row>
    <row r="645" spans="4:4" ht="15.75" customHeight="1">
      <c r="D645" s="10"/>
    </row>
    <row r="646" spans="4:4" ht="15.75" customHeight="1">
      <c r="D646" s="10"/>
    </row>
    <row r="647" spans="4:4" ht="15.75" customHeight="1">
      <c r="D647" s="10"/>
    </row>
    <row r="648" spans="4:4" ht="15.75" customHeight="1">
      <c r="D648" s="10"/>
    </row>
    <row r="649" spans="4:4" ht="15.75" customHeight="1">
      <c r="D649" s="10"/>
    </row>
    <row r="650" spans="4:4" ht="15.75" customHeight="1">
      <c r="D650" s="10"/>
    </row>
    <row r="651" spans="4:4" ht="15.75" customHeight="1">
      <c r="D651" s="10"/>
    </row>
    <row r="652" spans="4:4" ht="15.75" customHeight="1">
      <c r="D652" s="10"/>
    </row>
    <row r="653" spans="4:4" ht="15.75" customHeight="1">
      <c r="D653" s="10"/>
    </row>
    <row r="654" spans="4:4" ht="15.75" customHeight="1">
      <c r="D654" s="10"/>
    </row>
    <row r="655" spans="4:4" ht="15.75" customHeight="1">
      <c r="D655" s="10"/>
    </row>
    <row r="656" spans="4:4" ht="15.75" customHeight="1">
      <c r="D656" s="10"/>
    </row>
    <row r="657" spans="4:4" ht="15.75" customHeight="1">
      <c r="D657" s="10"/>
    </row>
    <row r="658" spans="4:4" ht="15.75" customHeight="1">
      <c r="D658" s="10"/>
    </row>
    <row r="659" spans="4:4" ht="15.75" customHeight="1">
      <c r="D659" s="10"/>
    </row>
    <row r="660" spans="4:4" ht="15.75" customHeight="1">
      <c r="D660" s="10"/>
    </row>
    <row r="661" spans="4:4" ht="15.75" customHeight="1">
      <c r="D661" s="10"/>
    </row>
    <row r="662" spans="4:4" ht="15.75" customHeight="1">
      <c r="D662" s="10"/>
    </row>
    <row r="663" spans="4:4" ht="15.75" customHeight="1">
      <c r="D663" s="10"/>
    </row>
    <row r="664" spans="4:4" ht="15.75" customHeight="1">
      <c r="D664" s="10"/>
    </row>
    <row r="665" spans="4:4" ht="15.75" customHeight="1">
      <c r="D665" s="10"/>
    </row>
    <row r="666" spans="4:4" ht="15.75" customHeight="1">
      <c r="D666" s="10"/>
    </row>
    <row r="667" spans="4:4" ht="15.75" customHeight="1">
      <c r="D667" s="10"/>
    </row>
    <row r="668" spans="4:4" ht="15.75" customHeight="1">
      <c r="D668" s="10"/>
    </row>
    <row r="669" spans="4:4" ht="15.75" customHeight="1">
      <c r="D669" s="10"/>
    </row>
    <row r="670" spans="4:4" ht="15.75" customHeight="1">
      <c r="D670" s="10"/>
    </row>
    <row r="671" spans="4:4" ht="15.75" customHeight="1">
      <c r="D671" s="10"/>
    </row>
    <row r="672" spans="4:4" ht="15.75" customHeight="1">
      <c r="D672" s="10"/>
    </row>
    <row r="673" spans="4:4" ht="15.75" customHeight="1">
      <c r="D673" s="10"/>
    </row>
    <row r="674" spans="4:4" ht="15.75" customHeight="1">
      <c r="D674" s="10"/>
    </row>
    <row r="675" spans="4:4" ht="15.75" customHeight="1">
      <c r="D675" s="10"/>
    </row>
    <row r="676" spans="4:4" ht="15.75" customHeight="1">
      <c r="D676" s="10"/>
    </row>
    <row r="677" spans="4:4" ht="15.75" customHeight="1">
      <c r="D677" s="10"/>
    </row>
    <row r="678" spans="4:4" ht="15.75" customHeight="1">
      <c r="D678" s="10"/>
    </row>
    <row r="679" spans="4:4" ht="15.75" customHeight="1">
      <c r="D679" s="10"/>
    </row>
    <row r="680" spans="4:4" ht="15.75" customHeight="1">
      <c r="D680" s="10"/>
    </row>
    <row r="681" spans="4:4" ht="15.75" customHeight="1">
      <c r="D681" s="10"/>
    </row>
    <row r="682" spans="4:4" ht="15.75" customHeight="1">
      <c r="D682" s="10"/>
    </row>
    <row r="683" spans="4:4" ht="15.75" customHeight="1">
      <c r="D683" s="10"/>
    </row>
    <row r="684" spans="4:4" ht="15.75" customHeight="1">
      <c r="D684" s="10"/>
    </row>
    <row r="685" spans="4:4" ht="15.75" customHeight="1">
      <c r="D685" s="10"/>
    </row>
    <row r="686" spans="4:4" ht="15.75" customHeight="1">
      <c r="D686" s="10"/>
    </row>
    <row r="687" spans="4:4" ht="15.75" customHeight="1">
      <c r="D687" s="10"/>
    </row>
    <row r="688" spans="4:4" ht="15.75" customHeight="1">
      <c r="D688" s="10"/>
    </row>
    <row r="689" spans="4:4" ht="15.75" customHeight="1">
      <c r="D689" s="10"/>
    </row>
    <row r="690" spans="4:4" ht="15.75" customHeight="1">
      <c r="D690" s="10"/>
    </row>
    <row r="691" spans="4:4" ht="15.75" customHeight="1">
      <c r="D691" s="10"/>
    </row>
    <row r="692" spans="4:4" ht="15.75" customHeight="1">
      <c r="D692" s="10"/>
    </row>
    <row r="693" spans="4:4" ht="15.75" customHeight="1">
      <c r="D693" s="10"/>
    </row>
    <row r="694" spans="4:4" ht="15.75" customHeight="1">
      <c r="D694" s="10"/>
    </row>
    <row r="695" spans="4:4" ht="15.75" customHeight="1">
      <c r="D695" s="10"/>
    </row>
    <row r="696" spans="4:4" ht="15.75" customHeight="1">
      <c r="D696" s="10"/>
    </row>
    <row r="697" spans="4:4" ht="15.75" customHeight="1">
      <c r="D697" s="10"/>
    </row>
    <row r="698" spans="4:4" ht="15.75" customHeight="1">
      <c r="D698" s="10"/>
    </row>
    <row r="699" spans="4:4" ht="15.75" customHeight="1">
      <c r="D699" s="10"/>
    </row>
    <row r="700" spans="4:4" ht="15.75" customHeight="1">
      <c r="D700" s="10"/>
    </row>
    <row r="701" spans="4:4" ht="15.75" customHeight="1">
      <c r="D701" s="10"/>
    </row>
    <row r="702" spans="4:4" ht="15.75" customHeight="1">
      <c r="D702" s="10"/>
    </row>
    <row r="703" spans="4:4" ht="15.75" customHeight="1">
      <c r="D703" s="10"/>
    </row>
    <row r="704" spans="4:4" ht="15.75" customHeight="1">
      <c r="D704" s="10"/>
    </row>
    <row r="705" spans="4:4" ht="15.75" customHeight="1">
      <c r="D705" s="10"/>
    </row>
    <row r="706" spans="4:4" ht="15.75" customHeight="1">
      <c r="D706" s="10"/>
    </row>
    <row r="707" spans="4:4" ht="15.75" customHeight="1">
      <c r="D707" s="10"/>
    </row>
    <row r="708" spans="4:4" ht="15.75" customHeight="1">
      <c r="D708" s="10"/>
    </row>
    <row r="709" spans="4:4" ht="15.75" customHeight="1">
      <c r="D709" s="10"/>
    </row>
    <row r="710" spans="4:4" ht="15.75" customHeight="1">
      <c r="D710" s="10"/>
    </row>
    <row r="711" spans="4:4" ht="15.75" customHeight="1">
      <c r="D711" s="10"/>
    </row>
    <row r="712" spans="4:4" ht="15.75" customHeight="1">
      <c r="D712" s="10"/>
    </row>
    <row r="713" spans="4:4" ht="15.75" customHeight="1">
      <c r="D713" s="10"/>
    </row>
    <row r="714" spans="4:4" ht="15.75" customHeight="1">
      <c r="D714" s="10"/>
    </row>
    <row r="715" spans="4:4" ht="15.75" customHeight="1">
      <c r="D715" s="10"/>
    </row>
    <row r="716" spans="4:4" ht="15.75" customHeight="1">
      <c r="D716" s="10"/>
    </row>
    <row r="717" spans="4:4" ht="15.75" customHeight="1">
      <c r="D717" s="10"/>
    </row>
    <row r="718" spans="4:4" ht="15.75" customHeight="1">
      <c r="D718" s="10"/>
    </row>
    <row r="719" spans="4:4" ht="15.75" customHeight="1">
      <c r="D719" s="10"/>
    </row>
    <row r="720" spans="4:4" ht="15.75" customHeight="1">
      <c r="D720" s="10"/>
    </row>
    <row r="721" spans="4:4" ht="15.75" customHeight="1">
      <c r="D721" s="10"/>
    </row>
    <row r="722" spans="4:4" ht="15.75" customHeight="1">
      <c r="D722" s="10"/>
    </row>
    <row r="723" spans="4:4" ht="15.75" customHeight="1">
      <c r="D723" s="10"/>
    </row>
    <row r="724" spans="4:4" ht="15.75" customHeight="1">
      <c r="D724" s="10"/>
    </row>
    <row r="725" spans="4:4" ht="15.75" customHeight="1">
      <c r="D725" s="10"/>
    </row>
    <row r="726" spans="4:4" ht="15.75" customHeight="1">
      <c r="D726" s="10"/>
    </row>
    <row r="727" spans="4:4" ht="15.75" customHeight="1">
      <c r="D727" s="10"/>
    </row>
    <row r="728" spans="4:4" ht="15.75" customHeight="1">
      <c r="D728" s="10"/>
    </row>
    <row r="729" spans="4:4" ht="15.75" customHeight="1">
      <c r="D729" s="10"/>
    </row>
    <row r="730" spans="4:4" ht="15.75" customHeight="1">
      <c r="D730" s="10"/>
    </row>
    <row r="731" spans="4:4" ht="15.75" customHeight="1">
      <c r="D731" s="10"/>
    </row>
    <row r="732" spans="4:4" ht="15.75" customHeight="1">
      <c r="D732" s="10"/>
    </row>
    <row r="733" spans="4:4" ht="15.75" customHeight="1">
      <c r="D733" s="10"/>
    </row>
    <row r="734" spans="4:4" ht="15.75" customHeight="1">
      <c r="D734" s="10"/>
    </row>
    <row r="735" spans="4:4" ht="15.75" customHeight="1">
      <c r="D735" s="10"/>
    </row>
    <row r="736" spans="4:4" ht="15.75" customHeight="1">
      <c r="D736" s="10"/>
    </row>
    <row r="737" spans="4:4" ht="15.75" customHeight="1">
      <c r="D737" s="10"/>
    </row>
    <row r="738" spans="4:4" ht="15.75" customHeight="1">
      <c r="D738" s="10"/>
    </row>
    <row r="739" spans="4:4" ht="15.75" customHeight="1">
      <c r="D739" s="10"/>
    </row>
    <row r="740" spans="4:4" ht="15.75" customHeight="1">
      <c r="D740" s="10"/>
    </row>
    <row r="741" spans="4:4" ht="15.75" customHeight="1">
      <c r="D741" s="10"/>
    </row>
    <row r="742" spans="4:4" ht="15.75" customHeight="1">
      <c r="D742" s="10"/>
    </row>
    <row r="743" spans="4:4" ht="15.75" customHeight="1">
      <c r="D743" s="10"/>
    </row>
    <row r="744" spans="4:4" ht="15.75" customHeight="1">
      <c r="D744" s="10"/>
    </row>
    <row r="745" spans="4:4" ht="15.75" customHeight="1">
      <c r="D745" s="10"/>
    </row>
    <row r="746" spans="4:4" ht="15.75" customHeight="1">
      <c r="D746" s="10"/>
    </row>
    <row r="747" spans="4:4" ht="15.75" customHeight="1">
      <c r="D747" s="10"/>
    </row>
    <row r="748" spans="4:4" ht="15.75" customHeight="1">
      <c r="D748" s="10"/>
    </row>
    <row r="749" spans="4:4" ht="15.75" customHeight="1">
      <c r="D749" s="10"/>
    </row>
    <row r="750" spans="4:4" ht="15.75" customHeight="1">
      <c r="D750" s="10"/>
    </row>
    <row r="751" spans="4:4" ht="15.75" customHeight="1">
      <c r="D751" s="10"/>
    </row>
    <row r="752" spans="4:4" ht="15.75" customHeight="1">
      <c r="D752" s="10"/>
    </row>
    <row r="753" spans="4:4" ht="15.75" customHeight="1">
      <c r="D753" s="10"/>
    </row>
    <row r="754" spans="4:4" ht="15.75" customHeight="1">
      <c r="D754" s="10"/>
    </row>
    <row r="755" spans="4:4" ht="15.75" customHeight="1">
      <c r="D755" s="10"/>
    </row>
    <row r="756" spans="4:4" ht="15.75" customHeight="1">
      <c r="D756" s="10"/>
    </row>
    <row r="757" spans="4:4" ht="15.75" customHeight="1">
      <c r="D757" s="10"/>
    </row>
    <row r="758" spans="4:4" ht="15.75" customHeight="1">
      <c r="D758" s="10"/>
    </row>
    <row r="759" spans="4:4" ht="15.75" customHeight="1">
      <c r="D759" s="10"/>
    </row>
    <row r="760" spans="4:4" ht="15.75" customHeight="1">
      <c r="D760" s="10"/>
    </row>
    <row r="761" spans="4:4" ht="15.75" customHeight="1">
      <c r="D761" s="10"/>
    </row>
    <row r="762" spans="4:4" ht="15.75" customHeight="1">
      <c r="D762" s="10"/>
    </row>
    <row r="763" spans="4:4" ht="15.75" customHeight="1">
      <c r="D763" s="10"/>
    </row>
    <row r="764" spans="4:4" ht="15.75" customHeight="1">
      <c r="D764" s="10"/>
    </row>
    <row r="765" spans="4:4" ht="15.75" customHeight="1">
      <c r="D765" s="10"/>
    </row>
    <row r="766" spans="4:4" ht="15.75" customHeight="1">
      <c r="D766" s="10"/>
    </row>
    <row r="767" spans="4:4" ht="15.75" customHeight="1">
      <c r="D767" s="10"/>
    </row>
    <row r="768" spans="4:4" ht="15.75" customHeight="1">
      <c r="D768" s="10"/>
    </row>
    <row r="769" spans="4:4" ht="15.75" customHeight="1">
      <c r="D769" s="10"/>
    </row>
    <row r="770" spans="4:4" ht="15.75" customHeight="1">
      <c r="D770" s="10"/>
    </row>
    <row r="771" spans="4:4" ht="15.75" customHeight="1">
      <c r="D771" s="10"/>
    </row>
    <row r="772" spans="4:4" ht="15.75" customHeight="1">
      <c r="D772" s="10"/>
    </row>
    <row r="773" spans="4:4" ht="15.75" customHeight="1">
      <c r="D773" s="10"/>
    </row>
    <row r="774" spans="4:4" ht="15.75" customHeight="1">
      <c r="D774" s="10"/>
    </row>
    <row r="775" spans="4:4" ht="15.75" customHeight="1">
      <c r="D775" s="10"/>
    </row>
    <row r="776" spans="4:4" ht="15.75" customHeight="1">
      <c r="D776" s="10"/>
    </row>
    <row r="777" spans="4:4" ht="15.75" customHeight="1">
      <c r="D777" s="10"/>
    </row>
    <row r="778" spans="4:4" ht="15.75" customHeight="1">
      <c r="D778" s="10"/>
    </row>
    <row r="779" spans="4:4" ht="15.75" customHeight="1">
      <c r="D779" s="10"/>
    </row>
    <row r="780" spans="4:4" ht="15.75" customHeight="1">
      <c r="D780" s="10"/>
    </row>
    <row r="781" spans="4:4" ht="15.75" customHeight="1">
      <c r="D781" s="10"/>
    </row>
    <row r="782" spans="4:4" ht="15.75" customHeight="1">
      <c r="D782" s="10"/>
    </row>
    <row r="783" spans="4:4" ht="15.75" customHeight="1">
      <c r="D783" s="10"/>
    </row>
    <row r="784" spans="4:4" ht="15.75" customHeight="1">
      <c r="D784" s="10"/>
    </row>
    <row r="785" spans="4:4" ht="15.75" customHeight="1">
      <c r="D785" s="10"/>
    </row>
    <row r="786" spans="4:4" ht="15.75" customHeight="1">
      <c r="D786" s="10"/>
    </row>
    <row r="787" spans="4:4" ht="15.75" customHeight="1">
      <c r="D787" s="10"/>
    </row>
    <row r="788" spans="4:4" ht="15.75" customHeight="1">
      <c r="D788" s="10"/>
    </row>
    <row r="789" spans="4:4" ht="15.75" customHeight="1">
      <c r="D789" s="10"/>
    </row>
    <row r="790" spans="4:4" ht="15.75" customHeight="1">
      <c r="D790" s="10"/>
    </row>
    <row r="791" spans="4:4" ht="15.75" customHeight="1">
      <c r="D791" s="10"/>
    </row>
    <row r="792" spans="4:4" ht="15.75" customHeight="1">
      <c r="D792" s="10"/>
    </row>
    <row r="793" spans="4:4" ht="15.75" customHeight="1">
      <c r="D793" s="10"/>
    </row>
    <row r="794" spans="4:4" ht="15.75" customHeight="1">
      <c r="D794" s="10"/>
    </row>
    <row r="795" spans="4:4" ht="15.75" customHeight="1">
      <c r="D795" s="10"/>
    </row>
    <row r="796" spans="4:4" ht="15.75" customHeight="1">
      <c r="D796" s="10"/>
    </row>
    <row r="797" spans="4:4" ht="15.75" customHeight="1">
      <c r="D797" s="10"/>
    </row>
    <row r="798" spans="4:4" ht="15.75" customHeight="1">
      <c r="D798" s="10"/>
    </row>
    <row r="799" spans="4:4" ht="15.75" customHeight="1">
      <c r="D799" s="10"/>
    </row>
    <row r="800" spans="4:4" ht="15.75" customHeight="1">
      <c r="D800" s="10"/>
    </row>
    <row r="801" spans="4:4" ht="15.75" customHeight="1">
      <c r="D801" s="10"/>
    </row>
    <row r="802" spans="4:4" ht="15.75" customHeight="1">
      <c r="D802" s="10"/>
    </row>
    <row r="803" spans="4:4" ht="15.75" customHeight="1">
      <c r="D803" s="10"/>
    </row>
    <row r="804" spans="4:4" ht="15.75" customHeight="1">
      <c r="D804" s="10"/>
    </row>
    <row r="805" spans="4:4" ht="15.75" customHeight="1">
      <c r="D805" s="10"/>
    </row>
    <row r="806" spans="4:4" ht="15.75" customHeight="1">
      <c r="D806" s="10"/>
    </row>
    <row r="807" spans="4:4" ht="15.75" customHeight="1">
      <c r="D807" s="10"/>
    </row>
    <row r="808" spans="4:4" ht="15.75" customHeight="1">
      <c r="D808" s="10"/>
    </row>
    <row r="809" spans="4:4" ht="15.75" customHeight="1">
      <c r="D809" s="10"/>
    </row>
    <row r="810" spans="4:4" ht="15.75" customHeight="1">
      <c r="D810" s="10"/>
    </row>
    <row r="811" spans="4:4" ht="15.75" customHeight="1">
      <c r="D811" s="10"/>
    </row>
    <row r="812" spans="4:4" ht="15.75" customHeight="1">
      <c r="D812" s="10"/>
    </row>
    <row r="813" spans="4:4" ht="15.75" customHeight="1">
      <c r="D813" s="10"/>
    </row>
    <row r="814" spans="4:4" ht="15.75" customHeight="1">
      <c r="D814" s="10"/>
    </row>
    <row r="815" spans="4:4" ht="15.75" customHeight="1">
      <c r="D815" s="10"/>
    </row>
    <row r="816" spans="4:4" ht="15.75" customHeight="1">
      <c r="D816" s="10"/>
    </row>
    <row r="817" spans="4:4" ht="15.75" customHeight="1">
      <c r="D817" s="10"/>
    </row>
    <row r="818" spans="4:4" ht="15.75" customHeight="1">
      <c r="D818" s="10"/>
    </row>
    <row r="819" spans="4:4" ht="15.75" customHeight="1">
      <c r="D819" s="10"/>
    </row>
    <row r="820" spans="4:4" ht="15.75" customHeight="1">
      <c r="D820" s="10"/>
    </row>
    <row r="821" spans="4:4" ht="15.75" customHeight="1">
      <c r="D821" s="10"/>
    </row>
    <row r="822" spans="4:4" ht="15.75" customHeight="1">
      <c r="D822" s="10"/>
    </row>
    <row r="823" spans="4:4" ht="15.75" customHeight="1">
      <c r="D823" s="10"/>
    </row>
    <row r="824" spans="4:4" ht="15.75" customHeight="1">
      <c r="D824" s="10"/>
    </row>
    <row r="825" spans="4:4" ht="15.75" customHeight="1">
      <c r="D825" s="10"/>
    </row>
    <row r="826" spans="4:4" ht="15.75" customHeight="1">
      <c r="D826" s="10"/>
    </row>
    <row r="827" spans="4:4" ht="15.75" customHeight="1">
      <c r="D827" s="10"/>
    </row>
    <row r="828" spans="4:4" ht="15.75" customHeight="1">
      <c r="D828" s="10"/>
    </row>
    <row r="829" spans="4:4" ht="15.75" customHeight="1">
      <c r="D829" s="10"/>
    </row>
    <row r="830" spans="4:4" ht="15.75" customHeight="1">
      <c r="D830" s="10"/>
    </row>
    <row r="831" spans="4:4" ht="15.75" customHeight="1">
      <c r="D831" s="10"/>
    </row>
    <row r="832" spans="4:4" ht="15.75" customHeight="1">
      <c r="D832" s="10"/>
    </row>
    <row r="833" spans="4:4" ht="15.75" customHeight="1">
      <c r="D833" s="10"/>
    </row>
    <row r="834" spans="4:4" ht="15.75" customHeight="1">
      <c r="D834" s="10"/>
    </row>
    <row r="835" spans="4:4" ht="15.75" customHeight="1">
      <c r="D835" s="10"/>
    </row>
    <row r="836" spans="4:4" ht="15.75" customHeight="1">
      <c r="D836" s="10"/>
    </row>
    <row r="837" spans="4:4" ht="15.75" customHeight="1">
      <c r="D837" s="10"/>
    </row>
    <row r="838" spans="4:4" ht="15.75" customHeight="1">
      <c r="D838" s="10"/>
    </row>
    <row r="839" spans="4:4" ht="15.75" customHeight="1">
      <c r="D839" s="10"/>
    </row>
    <row r="840" spans="4:4" ht="15.75" customHeight="1">
      <c r="D840" s="10"/>
    </row>
    <row r="841" spans="4:4" ht="15.75" customHeight="1">
      <c r="D841" s="10"/>
    </row>
    <row r="842" spans="4:4" ht="15.75" customHeight="1">
      <c r="D842" s="10"/>
    </row>
    <row r="843" spans="4:4" ht="15.75" customHeight="1">
      <c r="D843" s="10"/>
    </row>
    <row r="844" spans="4:4" ht="15.75" customHeight="1">
      <c r="D844" s="10"/>
    </row>
    <row r="845" spans="4:4" ht="15.75" customHeight="1">
      <c r="D845" s="10"/>
    </row>
    <row r="846" spans="4:4" ht="15.75" customHeight="1">
      <c r="D846" s="10"/>
    </row>
    <row r="847" spans="4:4" ht="15.75" customHeight="1">
      <c r="D847" s="10"/>
    </row>
    <row r="848" spans="4:4" ht="15.75" customHeight="1">
      <c r="D848" s="10"/>
    </row>
    <row r="849" spans="4:4" ht="15.75" customHeight="1">
      <c r="D849" s="10"/>
    </row>
    <row r="850" spans="4:4" ht="15.75" customHeight="1">
      <c r="D850" s="10"/>
    </row>
    <row r="851" spans="4:4" ht="15.75" customHeight="1">
      <c r="D851" s="10"/>
    </row>
    <row r="852" spans="4:4" ht="15.75" customHeight="1">
      <c r="D852" s="10"/>
    </row>
    <row r="853" spans="4:4" ht="15.75" customHeight="1">
      <c r="D853" s="10"/>
    </row>
    <row r="854" spans="4:4" ht="15.75" customHeight="1">
      <c r="D854" s="10"/>
    </row>
    <row r="855" spans="4:4" ht="15.75" customHeight="1">
      <c r="D855" s="10"/>
    </row>
    <row r="856" spans="4:4" ht="15.75" customHeight="1">
      <c r="D856" s="10"/>
    </row>
    <row r="857" spans="4:4" ht="15.75" customHeight="1">
      <c r="D857" s="10"/>
    </row>
    <row r="858" spans="4:4" ht="15.75" customHeight="1">
      <c r="D858" s="10"/>
    </row>
    <row r="859" spans="4:4" ht="15.75" customHeight="1">
      <c r="D859" s="10"/>
    </row>
    <row r="860" spans="4:4" ht="15.75" customHeight="1">
      <c r="D860" s="10"/>
    </row>
    <row r="861" spans="4:4" ht="15.75" customHeight="1">
      <c r="D861" s="10"/>
    </row>
    <row r="862" spans="4:4" ht="15.75" customHeight="1">
      <c r="D862" s="10"/>
    </row>
    <row r="863" spans="4:4" ht="15.75" customHeight="1">
      <c r="D863" s="10"/>
    </row>
    <row r="864" spans="4:4" ht="15.75" customHeight="1">
      <c r="D864" s="10"/>
    </row>
    <row r="865" spans="4:4" ht="15.75" customHeight="1">
      <c r="D865" s="10"/>
    </row>
    <row r="866" spans="4:4" ht="15.75" customHeight="1">
      <c r="D866" s="10"/>
    </row>
    <row r="867" spans="4:4" ht="15.75" customHeight="1">
      <c r="D867" s="10"/>
    </row>
    <row r="868" spans="4:4" ht="15.75" customHeight="1">
      <c r="D868" s="10"/>
    </row>
    <row r="869" spans="4:4" ht="15.75" customHeight="1">
      <c r="D869" s="10"/>
    </row>
    <row r="870" spans="4:4" ht="15.75" customHeight="1">
      <c r="D870" s="10"/>
    </row>
    <row r="871" spans="4:4" ht="15.75" customHeight="1">
      <c r="D871" s="10"/>
    </row>
    <row r="872" spans="4:4" ht="15.75" customHeight="1">
      <c r="D872" s="10"/>
    </row>
    <row r="873" spans="4:4" ht="15.75" customHeight="1">
      <c r="D873" s="10"/>
    </row>
    <row r="874" spans="4:4" ht="15.75" customHeight="1">
      <c r="D874" s="10"/>
    </row>
    <row r="875" spans="4:4" ht="15.75" customHeight="1">
      <c r="D875" s="10"/>
    </row>
    <row r="876" spans="4:4" ht="15.75" customHeight="1">
      <c r="D876" s="10"/>
    </row>
    <row r="877" spans="4:4" ht="15.75" customHeight="1">
      <c r="D877" s="10"/>
    </row>
    <row r="878" spans="4:4" ht="15.75" customHeight="1">
      <c r="D878" s="10"/>
    </row>
    <row r="879" spans="4:4" ht="15.75" customHeight="1">
      <c r="D879" s="10"/>
    </row>
    <row r="880" spans="4:4" ht="15.75" customHeight="1">
      <c r="D880" s="10"/>
    </row>
    <row r="881" spans="4:4" ht="15.75" customHeight="1">
      <c r="D881" s="10"/>
    </row>
    <row r="882" spans="4:4" ht="15.75" customHeight="1">
      <c r="D882" s="10"/>
    </row>
    <row r="883" spans="4:4" ht="15.75" customHeight="1">
      <c r="D883" s="10"/>
    </row>
    <row r="884" spans="4:4" ht="15.75" customHeight="1">
      <c r="D884" s="10"/>
    </row>
    <row r="885" spans="4:4" ht="15.75" customHeight="1">
      <c r="D885" s="10"/>
    </row>
    <row r="886" spans="4:4" ht="15.75" customHeight="1">
      <c r="D886" s="10"/>
    </row>
    <row r="887" spans="4:4" ht="15.75" customHeight="1">
      <c r="D887" s="10"/>
    </row>
    <row r="888" spans="4:4" ht="15.75" customHeight="1">
      <c r="D888" s="10"/>
    </row>
    <row r="889" spans="4:4" ht="15.75" customHeight="1">
      <c r="D889" s="10"/>
    </row>
    <row r="890" spans="4:4" ht="15.75" customHeight="1">
      <c r="D890" s="10"/>
    </row>
    <row r="891" spans="4:4" ht="15.75" customHeight="1">
      <c r="D891" s="10"/>
    </row>
    <row r="892" spans="4:4" ht="15.75" customHeight="1">
      <c r="D892" s="10"/>
    </row>
    <row r="893" spans="4:4" ht="15.75" customHeight="1">
      <c r="D893" s="10"/>
    </row>
    <row r="894" spans="4:4" ht="15.75" customHeight="1">
      <c r="D894" s="10"/>
    </row>
    <row r="895" spans="4:4" ht="15.75" customHeight="1">
      <c r="D895" s="10"/>
    </row>
    <row r="896" spans="4:4" ht="15.75" customHeight="1">
      <c r="D896" s="10"/>
    </row>
    <row r="897" spans="4:4" ht="15.75" customHeight="1">
      <c r="D897" s="10"/>
    </row>
    <row r="898" spans="4:4" ht="15.75" customHeight="1">
      <c r="D898" s="10"/>
    </row>
    <row r="899" spans="4:4" ht="15.75" customHeight="1">
      <c r="D899" s="10"/>
    </row>
    <row r="900" spans="4:4" ht="15.75" customHeight="1">
      <c r="D900" s="10"/>
    </row>
    <row r="901" spans="4:4" ht="15.75" customHeight="1">
      <c r="D901" s="10"/>
    </row>
    <row r="902" spans="4:4" ht="15.75" customHeight="1">
      <c r="D902" s="10"/>
    </row>
    <row r="903" spans="4:4" ht="15.75" customHeight="1">
      <c r="D903" s="10"/>
    </row>
    <row r="904" spans="4:4" ht="15.75" customHeight="1">
      <c r="D904" s="10"/>
    </row>
    <row r="905" spans="4:4" ht="15.75" customHeight="1">
      <c r="D905" s="10"/>
    </row>
    <row r="906" spans="4:4" ht="15.75" customHeight="1">
      <c r="D906" s="10"/>
    </row>
    <row r="907" spans="4:4" ht="15.75" customHeight="1">
      <c r="D907" s="10"/>
    </row>
    <row r="908" spans="4:4" ht="15.75" customHeight="1">
      <c r="D908" s="10"/>
    </row>
    <row r="909" spans="4:4" ht="15.75" customHeight="1">
      <c r="D909" s="10"/>
    </row>
    <row r="910" spans="4:4" ht="15.75" customHeight="1">
      <c r="D910" s="10"/>
    </row>
    <row r="911" spans="4:4" ht="15.75" customHeight="1">
      <c r="D911" s="10"/>
    </row>
    <row r="912" spans="4:4" ht="15.75" customHeight="1">
      <c r="D912" s="10"/>
    </row>
    <row r="913" spans="4:4" ht="15.75" customHeight="1">
      <c r="D913" s="10"/>
    </row>
    <row r="914" spans="4:4" ht="15.75" customHeight="1">
      <c r="D914" s="10"/>
    </row>
    <row r="915" spans="4:4" ht="15.75" customHeight="1">
      <c r="D915" s="10"/>
    </row>
    <row r="916" spans="4:4" ht="15.75" customHeight="1">
      <c r="D916" s="10"/>
    </row>
    <row r="917" spans="4:4" ht="15.75" customHeight="1">
      <c r="D917" s="10"/>
    </row>
    <row r="918" spans="4:4" ht="15.75" customHeight="1">
      <c r="D918" s="10"/>
    </row>
    <row r="919" spans="4:4" ht="15.75" customHeight="1">
      <c r="D919" s="10"/>
    </row>
    <row r="920" spans="4:4" ht="15.75" customHeight="1">
      <c r="D920" s="10"/>
    </row>
    <row r="921" spans="4:4" ht="15.75" customHeight="1">
      <c r="D921" s="10"/>
    </row>
    <row r="922" spans="4:4" ht="15.75" customHeight="1">
      <c r="D922" s="10"/>
    </row>
    <row r="923" spans="4:4" ht="15.75" customHeight="1">
      <c r="D923" s="10"/>
    </row>
    <row r="924" spans="4:4" ht="15.75" customHeight="1">
      <c r="D924" s="10"/>
    </row>
    <row r="925" spans="4:4" ht="15.75" customHeight="1">
      <c r="D925" s="10"/>
    </row>
    <row r="926" spans="4:4" ht="15.75" customHeight="1">
      <c r="D926" s="10"/>
    </row>
    <row r="927" spans="4:4" ht="15.75" customHeight="1">
      <c r="D927" s="10"/>
    </row>
    <row r="928" spans="4:4" ht="15.75" customHeight="1">
      <c r="D928" s="10"/>
    </row>
    <row r="929" spans="4:4" ht="15.75" customHeight="1">
      <c r="D929" s="10"/>
    </row>
    <row r="930" spans="4:4" ht="15.75" customHeight="1">
      <c r="D930" s="10"/>
    </row>
    <row r="931" spans="4:4" ht="15.75" customHeight="1">
      <c r="D931" s="10"/>
    </row>
    <row r="932" spans="4:4" ht="15.75" customHeight="1">
      <c r="D932" s="10"/>
    </row>
    <row r="933" spans="4:4" ht="15.75" customHeight="1">
      <c r="D933" s="10"/>
    </row>
    <row r="934" spans="4:4" ht="15.75" customHeight="1">
      <c r="D934" s="10"/>
    </row>
    <row r="935" spans="4:4" ht="15.75" customHeight="1">
      <c r="D935" s="10"/>
    </row>
    <row r="936" spans="4:4" ht="15.75" customHeight="1">
      <c r="D936" s="10"/>
    </row>
    <row r="937" spans="4:4" ht="15.75" customHeight="1">
      <c r="D937" s="10"/>
    </row>
    <row r="938" spans="4:4" ht="15.75" customHeight="1">
      <c r="D938" s="10"/>
    </row>
    <row r="939" spans="4:4" ht="15.75" customHeight="1">
      <c r="D939" s="10"/>
    </row>
    <row r="940" spans="4:4" ht="15.75" customHeight="1">
      <c r="D940" s="10"/>
    </row>
    <row r="941" spans="4:4" ht="15.75" customHeight="1">
      <c r="D941" s="10"/>
    </row>
    <row r="942" spans="4:4" ht="15.75" customHeight="1">
      <c r="D942" s="10"/>
    </row>
    <row r="943" spans="4:4" ht="15.75" customHeight="1">
      <c r="D943" s="10"/>
    </row>
    <row r="944" spans="4:4" ht="15.75" customHeight="1">
      <c r="D944" s="10"/>
    </row>
    <row r="945" spans="4:4" ht="15.75" customHeight="1">
      <c r="D945" s="10"/>
    </row>
    <row r="946" spans="4:4" ht="15.75" customHeight="1">
      <c r="D946" s="10"/>
    </row>
    <row r="947" spans="4:4" ht="15.75" customHeight="1">
      <c r="D947" s="10"/>
    </row>
    <row r="948" spans="4:4" ht="15.75" customHeight="1">
      <c r="D948" s="10"/>
    </row>
    <row r="949" spans="4:4" ht="15.75" customHeight="1">
      <c r="D949" s="10"/>
    </row>
    <row r="950" spans="4:4" ht="15.75" customHeight="1">
      <c r="D950" s="10"/>
    </row>
    <row r="951" spans="4:4" ht="15.75" customHeight="1">
      <c r="D951" s="10"/>
    </row>
    <row r="952" spans="4:4" ht="15.75" customHeight="1">
      <c r="D952" s="10"/>
    </row>
    <row r="953" spans="4:4" ht="15.75" customHeight="1">
      <c r="D953" s="10"/>
    </row>
    <row r="954" spans="4:4" ht="15.75" customHeight="1">
      <c r="D954" s="10"/>
    </row>
    <row r="955" spans="4:4" ht="15.75" customHeight="1">
      <c r="D955" s="10"/>
    </row>
    <row r="956" spans="4:4" ht="15.75" customHeight="1">
      <c r="D956" s="10"/>
    </row>
    <row r="957" spans="4:4" ht="15.75" customHeight="1">
      <c r="D957" s="10"/>
    </row>
    <row r="958" spans="4:4" ht="15.75" customHeight="1">
      <c r="D958" s="10"/>
    </row>
    <row r="959" spans="4:4" ht="15.75" customHeight="1">
      <c r="D959" s="10"/>
    </row>
    <row r="960" spans="4:4" ht="15.75" customHeight="1">
      <c r="D960" s="10"/>
    </row>
    <row r="961" spans="4:4" ht="15.75" customHeight="1">
      <c r="D961" s="10"/>
    </row>
    <row r="962" spans="4:4" ht="15.75" customHeight="1">
      <c r="D962" s="10"/>
    </row>
    <row r="963" spans="4:4" ht="15.75" customHeight="1">
      <c r="D963" s="10"/>
    </row>
    <row r="964" spans="4:4" ht="15.75" customHeight="1">
      <c r="D964" s="10"/>
    </row>
    <row r="965" spans="4:4" ht="15.75" customHeight="1">
      <c r="D965" s="10"/>
    </row>
    <row r="966" spans="4:4" ht="15.75" customHeight="1">
      <c r="D966" s="10"/>
    </row>
    <row r="967" spans="4:4" ht="15.75" customHeight="1">
      <c r="D967" s="10"/>
    </row>
    <row r="968" spans="4:4" ht="15.75" customHeight="1">
      <c r="D968" s="10"/>
    </row>
    <row r="969" spans="4:4" ht="15.75" customHeight="1">
      <c r="D969" s="10"/>
    </row>
    <row r="970" spans="4:4" ht="15.75" customHeight="1">
      <c r="D970" s="10"/>
    </row>
    <row r="971" spans="4:4" ht="15.75" customHeight="1">
      <c r="D971" s="10"/>
    </row>
    <row r="972" spans="4:4" ht="15.75" customHeight="1">
      <c r="D972" s="10"/>
    </row>
    <row r="973" spans="4:4" ht="15.75" customHeight="1">
      <c r="D973" s="10"/>
    </row>
    <row r="974" spans="4:4" ht="15.75" customHeight="1">
      <c r="D974" s="10"/>
    </row>
    <row r="975" spans="4:4" ht="15.75" customHeight="1">
      <c r="D975" s="10"/>
    </row>
    <row r="976" spans="4:4" ht="15.75" customHeight="1">
      <c r="D976" s="10"/>
    </row>
    <row r="977" spans="4:4" ht="15.75" customHeight="1">
      <c r="D977" s="10"/>
    </row>
    <row r="978" spans="4:4" ht="15.75" customHeight="1">
      <c r="D978" s="10"/>
    </row>
    <row r="979" spans="4:4" ht="15.75" customHeight="1">
      <c r="D979" s="10"/>
    </row>
    <row r="980" spans="4:4" ht="15.75" customHeight="1">
      <c r="D980" s="10"/>
    </row>
    <row r="981" spans="4:4" ht="15.75" customHeight="1">
      <c r="D981" s="10"/>
    </row>
    <row r="982" spans="4:4" ht="15.75" customHeight="1">
      <c r="D982" s="10"/>
    </row>
    <row r="983" spans="4:4" ht="15.75" customHeight="1">
      <c r="D983" s="10"/>
    </row>
    <row r="984" spans="4:4" ht="15.75" customHeight="1">
      <c r="D984" s="10"/>
    </row>
    <row r="985" spans="4:4" ht="15.75" customHeight="1">
      <c r="D985" s="10"/>
    </row>
    <row r="986" spans="4:4" ht="15.75" customHeight="1">
      <c r="D986" s="10"/>
    </row>
    <row r="987" spans="4:4" ht="15.75" customHeight="1">
      <c r="D987" s="10"/>
    </row>
    <row r="988" spans="4:4" ht="15.75" customHeight="1">
      <c r="D988" s="10"/>
    </row>
    <row r="989" spans="4:4" ht="15.75" customHeight="1">
      <c r="D989" s="10"/>
    </row>
    <row r="990" spans="4:4" ht="15.75" customHeight="1">
      <c r="D990" s="10"/>
    </row>
    <row r="991" spans="4:4" ht="15.75" customHeight="1">
      <c r="D991" s="10"/>
    </row>
    <row r="992" spans="4:4" ht="15.75" customHeight="1">
      <c r="D992" s="10"/>
    </row>
    <row r="993" spans="4:4" ht="15.75" customHeight="1">
      <c r="D993" s="10"/>
    </row>
    <row r="994" spans="4:4" ht="15.75" customHeight="1">
      <c r="D994" s="10"/>
    </row>
    <row r="995" spans="4:4" ht="15.75" customHeight="1">
      <c r="D995" s="10"/>
    </row>
    <row r="996" spans="4:4" ht="15.75" customHeight="1">
      <c r="D996" s="10"/>
    </row>
    <row r="997" spans="4:4" ht="15.75" customHeight="1">
      <c r="D997" s="10"/>
    </row>
    <row r="998" spans="4:4" ht="15.75" customHeight="1">
      <c r="D998" s="10"/>
    </row>
    <row r="999" spans="4:4" ht="15.75" customHeight="1">
      <c r="D999" s="10"/>
    </row>
    <row r="1000" spans="4:4" ht="15.75" customHeight="1">
      <c r="D1000" s="10"/>
    </row>
    <row r="1001" spans="4:4" ht="15.75" customHeight="1">
      <c r="D1001" s="10"/>
    </row>
    <row r="1002" spans="4:4" ht="15.75" customHeight="1">
      <c r="D1002" s="10"/>
    </row>
  </sheetData>
  <mergeCells count="1">
    <mergeCell ref="A1:M1"/>
  </mergeCells>
  <printOptions>
    <extLst>
      <ext uri="smNativeData">
        <pm:pageFlags xmlns:pm="smNativeData" id="1789706791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89706791" l="56" r="56" t="56" b="56" borderId="0" fillId="0" vertical="0"/>
        <pm:footer xmlns:pm="smNativeData" id="1789706791" l="56" r="56" t="56" b="56" borderId="0" fillId="0" vertical="2"/>
      </ext>
    </extLst>
  </headerFooter>
  <extLst>
    <ext uri="smNativeData">
      <pm:sheetPrefs xmlns:pm="smNativeData" day="178970679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Right="0" summaryBelow="0"/>
  </sheetPr>
  <dimension ref="A1:G359"/>
  <sheetViews>
    <sheetView view="normal" workbookViewId="0">
      <selection activeCell="A1" sqref="A1"/>
    </sheetView>
  </sheetViews>
  <sheetFormatPr baseColWidth="11" defaultColWidth="12.630631" defaultRowHeight="15.75" customHeight="1"/>
  <cols>
    <col min="1" max="1" width="49.126126" customWidth="1"/>
    <col min="5" max="5" width="38.378378" customWidth="1"/>
    <col min="6" max="6" width="27.378378" customWidth="1"/>
  </cols>
  <sheetData>
    <row r="1" spans="1:1" ht="15.75" customHeight="1">
      <c r="A1" s="61" t="s">
        <v>259</v>
      </c>
    </row>
    <row r="4" spans="1:7" ht="15.75" customHeight="1">
      <c r="A4" s="56" t="s">
        <v>260</v>
      </c>
      <c r="B4" s="9" t="n">
        <v>1020835</v>
      </c>
      <c r="C4" s="56"/>
      <c r="D4" s="56"/>
      <c r="E4" s="56"/>
      <c r="F4" s="56"/>
      <c r="G4" s="56"/>
    </row>
    <row r="5" spans="1:7" ht="15.75" customHeight="1">
      <c r="A5" s="56" t="s">
        <v>261</v>
      </c>
      <c r="B5" s="9" t="n">
        <v>147812</v>
      </c>
      <c r="C5" s="56"/>
      <c r="D5" s="56"/>
      <c r="E5" s="56"/>
      <c r="F5" s="56"/>
      <c r="G5" s="56"/>
    </row>
    <row r="6" spans="1:7" ht="15.75" customHeight="1">
      <c r="A6" s="56" t="s">
        <v>262</v>
      </c>
      <c r="B6" s="9" t="n">
        <v>147776</v>
      </c>
      <c r="C6" s="56"/>
      <c r="D6" s="56"/>
      <c r="E6" s="56"/>
      <c r="F6" s="56"/>
      <c r="G6" s="56"/>
    </row>
    <row r="7" spans="1:7" ht="15.75" customHeight="1">
      <c r="A7" s="56" t="s">
        <v>263</v>
      </c>
      <c r="B7" s="9" t="n">
        <v>479165</v>
      </c>
      <c r="C7" s="56"/>
      <c r="D7" s="56"/>
      <c r="E7" s="56"/>
      <c r="F7" s="56"/>
      <c r="G7" s="56"/>
    </row>
    <row r="8" spans="1:7" ht="15.75" customHeight="1">
      <c r="A8" s="56" t="s">
        <v>264</v>
      </c>
      <c r="B8" s="9" t="n">
        <v>1500000</v>
      </c>
      <c r="C8" s="56"/>
      <c r="D8" s="56"/>
      <c r="E8" s="56"/>
      <c r="F8" s="56"/>
      <c r="G8" s="56"/>
    </row>
    <row r="9" spans="1:7" ht="15.75" customHeight="1">
      <c r="A9" s="56"/>
      <c r="B9" s="56"/>
      <c r="C9" s="56"/>
      <c r="D9" s="56"/>
      <c r="E9" s="56"/>
      <c r="F9" s="56"/>
      <c r="G9" s="56"/>
    </row>
    <row r="10" spans="1:7" ht="15.75" customHeight="1">
      <c r="A10" s="56" t="s">
        <v>265</v>
      </c>
      <c r="B10" s="56" t="s">
        <v>266</v>
      </c>
      <c r="C10" s="56" t="s">
        <v>267</v>
      </c>
      <c r="D10" s="56" t="s">
        <v>268</v>
      </c>
      <c r="E10" s="56" t="s">
        <v>269</v>
      </c>
      <c r="F10" s="56" t="s">
        <v>270</v>
      </c>
      <c r="G10" s="56" t="s">
        <v>271</v>
      </c>
    </row>
    <row r="11" spans="1:7" ht="15.75" customHeight="1">
      <c r="A11" s="9" t="n">
        <v>2</v>
      </c>
      <c r="B11" s="9" t="n">
        <v>1</v>
      </c>
      <c r="C11" s="9" t="n">
        <v>10611</v>
      </c>
      <c r="D11" s="9" t="n">
        <v>10611</v>
      </c>
      <c r="E11" s="56" t="s">
        <v>272</v>
      </c>
      <c r="F11" s="56" t="s">
        <v>273</v>
      </c>
      <c r="G11" s="56" t="s">
        <v>274</v>
      </c>
    </row>
    <row r="12" spans="1:7" ht="15.75" customHeight="1">
      <c r="A12" s="9" t="n">
        <v>7</v>
      </c>
      <c r="B12" s="9" t="n">
        <v>1</v>
      </c>
      <c r="C12" s="9" t="n">
        <v>8241</v>
      </c>
      <c r="D12" s="9" t="n">
        <v>8241</v>
      </c>
      <c r="E12" s="56" t="s">
        <v>272</v>
      </c>
      <c r="F12" s="56" t="s">
        <v>273</v>
      </c>
      <c r="G12" s="56" t="s">
        <v>274</v>
      </c>
    </row>
    <row r="13" spans="1:7" ht="15.75" customHeight="1">
      <c r="A13" s="9" t="n">
        <v>9</v>
      </c>
      <c r="B13" s="9" t="n">
        <v>1</v>
      </c>
      <c r="C13" s="9" t="n">
        <v>8047</v>
      </c>
      <c r="D13" s="9" t="n">
        <v>8047</v>
      </c>
      <c r="E13" s="56" t="s">
        <v>272</v>
      </c>
      <c r="F13" s="56" t="s">
        <v>273</v>
      </c>
      <c r="G13" s="56" t="s">
        <v>274</v>
      </c>
    </row>
    <row r="14" spans="1:7" ht="15.75" customHeight="1">
      <c r="A14" s="9" t="n">
        <v>10</v>
      </c>
      <c r="B14" s="9" t="n">
        <v>1</v>
      </c>
      <c r="C14" s="9" t="n">
        <v>7833</v>
      </c>
      <c r="D14" s="9" t="n">
        <v>7833</v>
      </c>
      <c r="E14" s="56" t="s">
        <v>272</v>
      </c>
      <c r="F14" s="56" t="s">
        <v>273</v>
      </c>
      <c r="G14" s="56" t="s">
        <v>274</v>
      </c>
    </row>
    <row r="15" spans="1:7" ht="15.75" customHeight="1">
      <c r="A15" s="9" t="n">
        <v>13</v>
      </c>
      <c r="B15" s="9" t="n">
        <v>1</v>
      </c>
      <c r="C15" s="9" t="n">
        <v>7551</v>
      </c>
      <c r="D15" s="9" t="n">
        <v>7551</v>
      </c>
      <c r="E15" s="56" t="s">
        <v>272</v>
      </c>
      <c r="F15" s="56" t="s">
        <v>273</v>
      </c>
      <c r="G15" s="56" t="s">
        <v>274</v>
      </c>
    </row>
    <row r="16" spans="1:7" ht="15.75" customHeight="1">
      <c r="A16" s="9" t="n">
        <v>18</v>
      </c>
      <c r="B16" s="9" t="n">
        <v>1</v>
      </c>
      <c r="C16" s="9" t="n">
        <v>6417</v>
      </c>
      <c r="D16" s="9" t="n">
        <v>6417</v>
      </c>
      <c r="E16" s="56" t="s">
        <v>272</v>
      </c>
      <c r="F16" s="56" t="s">
        <v>273</v>
      </c>
      <c r="G16" s="56" t="s">
        <v>274</v>
      </c>
    </row>
    <row r="17" spans="1:7" ht="15.75" customHeight="1">
      <c r="A17" s="9" t="n">
        <v>39</v>
      </c>
      <c r="B17" s="9" t="n">
        <v>1</v>
      </c>
      <c r="C17" s="9" t="n">
        <v>4636</v>
      </c>
      <c r="D17" s="9" t="n">
        <v>4636</v>
      </c>
      <c r="E17" s="56" t="s">
        <v>272</v>
      </c>
      <c r="F17" s="56" t="s">
        <v>273</v>
      </c>
      <c r="G17" s="56" t="s">
        <v>274</v>
      </c>
    </row>
    <row r="18" spans="1:7" ht="15.75" customHeight="1">
      <c r="A18" s="9" t="n">
        <v>12</v>
      </c>
      <c r="B18" s="9" t="n">
        <v>2</v>
      </c>
      <c r="C18" s="9" t="n">
        <v>7577</v>
      </c>
      <c r="D18" s="9" t="n">
        <v>7577</v>
      </c>
      <c r="E18" s="56" t="s">
        <v>272</v>
      </c>
      <c r="F18" s="56" t="s">
        <v>273</v>
      </c>
      <c r="G18" s="56" t="s">
        <v>274</v>
      </c>
    </row>
    <row r="19" spans="1:7" ht="15.75" customHeight="1">
      <c r="A19" s="9" t="n">
        <v>17</v>
      </c>
      <c r="B19" s="9" t="n">
        <v>2</v>
      </c>
      <c r="C19" s="9" t="n">
        <v>6795</v>
      </c>
      <c r="D19" s="9" t="n">
        <v>6795</v>
      </c>
      <c r="E19" s="56" t="s">
        <v>272</v>
      </c>
      <c r="F19" s="56" t="s">
        <v>273</v>
      </c>
      <c r="G19" s="56" t="s">
        <v>274</v>
      </c>
    </row>
    <row r="20" spans="1:7" ht="15.75" customHeight="1">
      <c r="A20" s="9" t="n">
        <v>19</v>
      </c>
      <c r="B20" s="9" t="n">
        <v>2</v>
      </c>
      <c r="C20" s="9" t="n">
        <v>6333</v>
      </c>
      <c r="D20" s="9" t="n">
        <v>6333</v>
      </c>
      <c r="E20" s="56" t="s">
        <v>272</v>
      </c>
      <c r="F20" s="56" t="s">
        <v>273</v>
      </c>
      <c r="G20" s="56" t="s">
        <v>274</v>
      </c>
    </row>
    <row r="21" spans="1:7" ht="15.75" customHeight="1">
      <c r="A21" s="9" t="n">
        <v>22</v>
      </c>
      <c r="B21" s="9" t="n">
        <v>2</v>
      </c>
      <c r="C21" s="9" t="n">
        <v>5780</v>
      </c>
      <c r="D21" s="9" t="n">
        <v>5780</v>
      </c>
      <c r="E21" s="56" t="s">
        <v>272</v>
      </c>
      <c r="F21" s="56" t="s">
        <v>273</v>
      </c>
      <c r="G21" s="56" t="s">
        <v>274</v>
      </c>
    </row>
    <row r="22" spans="1:7" ht="15.75" customHeight="1">
      <c r="A22" s="9" t="n">
        <v>35</v>
      </c>
      <c r="B22" s="9" t="n">
        <v>2</v>
      </c>
      <c r="C22" s="9" t="n">
        <v>4867</v>
      </c>
      <c r="D22" s="9" t="n">
        <v>4867</v>
      </c>
      <c r="E22" s="56" t="s">
        <v>272</v>
      </c>
      <c r="F22" s="56" t="s">
        <v>273</v>
      </c>
      <c r="G22" s="56" t="s">
        <v>274</v>
      </c>
    </row>
    <row r="23" spans="1:7" ht="15.75" customHeight="1">
      <c r="A23" s="9" t="n">
        <v>48</v>
      </c>
      <c r="B23" s="9" t="n">
        <v>2</v>
      </c>
      <c r="C23" s="9" t="n">
        <v>4089</v>
      </c>
      <c r="D23" s="9" t="n">
        <v>4089</v>
      </c>
      <c r="E23" s="56" t="s">
        <v>272</v>
      </c>
      <c r="F23" s="56" t="s">
        <v>273</v>
      </c>
      <c r="G23" s="56" t="s">
        <v>274</v>
      </c>
    </row>
    <row r="24" spans="1:7" ht="15.75" customHeight="1">
      <c r="A24" s="9" t="n">
        <v>64</v>
      </c>
      <c r="B24" s="9" t="n">
        <v>2</v>
      </c>
      <c r="C24" s="9" t="n">
        <v>3102</v>
      </c>
      <c r="D24" s="9" t="n">
        <v>3102</v>
      </c>
      <c r="E24" s="56" t="s">
        <v>272</v>
      </c>
      <c r="F24" s="56" t="s">
        <v>273</v>
      </c>
      <c r="G24" s="56" t="s">
        <v>274</v>
      </c>
    </row>
    <row r="25" spans="1:7" ht="15.75" customHeight="1">
      <c r="A25" s="9" t="n">
        <v>3</v>
      </c>
      <c r="B25" s="9" t="n">
        <v>3</v>
      </c>
      <c r="C25" s="9" t="n">
        <v>10263</v>
      </c>
      <c r="D25" s="9" t="n">
        <v>10263</v>
      </c>
      <c r="E25" s="56" t="s">
        <v>275</v>
      </c>
      <c r="F25" s="56" t="s">
        <v>273</v>
      </c>
      <c r="G25" s="56" t="s">
        <v>273</v>
      </c>
    </row>
    <row r="26" spans="1:7" ht="15.75" customHeight="1">
      <c r="A26" s="9" t="n">
        <v>8</v>
      </c>
      <c r="B26" s="9" t="n">
        <v>3</v>
      </c>
      <c r="C26" s="9" t="n">
        <v>8231</v>
      </c>
      <c r="D26" s="9" t="n">
        <v>8231</v>
      </c>
      <c r="E26" s="56" t="s">
        <v>275</v>
      </c>
      <c r="F26" s="56" t="s">
        <v>273</v>
      </c>
      <c r="G26" s="56" t="s">
        <v>273</v>
      </c>
    </row>
    <row r="27" spans="1:7" ht="15.75" customHeight="1">
      <c r="A27" s="9" t="n">
        <v>14</v>
      </c>
      <c r="B27" s="9" t="n">
        <v>3</v>
      </c>
      <c r="C27" s="9" t="n">
        <v>7536</v>
      </c>
      <c r="D27" s="9" t="n">
        <v>7536</v>
      </c>
      <c r="E27" s="56" t="s">
        <v>275</v>
      </c>
      <c r="F27" s="56" t="s">
        <v>276</v>
      </c>
      <c r="G27" s="56" t="s">
        <v>273</v>
      </c>
    </row>
    <row r="28" spans="1:7" ht="15.75" customHeight="1">
      <c r="A28" s="9" t="n">
        <v>26</v>
      </c>
      <c r="B28" s="9" t="n">
        <v>4</v>
      </c>
      <c r="C28" s="9" t="n">
        <v>5556</v>
      </c>
      <c r="D28" s="9" t="n">
        <v>5556</v>
      </c>
      <c r="E28" s="56" t="s">
        <v>272</v>
      </c>
      <c r="F28" s="56" t="s">
        <v>276</v>
      </c>
      <c r="G28" s="56" t="s">
        <v>274</v>
      </c>
    </row>
    <row r="29" spans="1:7" ht="15.75" customHeight="1">
      <c r="A29" s="9" t="n">
        <v>32</v>
      </c>
      <c r="B29" s="9" t="n">
        <v>4</v>
      </c>
      <c r="C29" s="9" t="n">
        <v>4953</v>
      </c>
      <c r="D29" s="9" t="n">
        <v>4953</v>
      </c>
      <c r="E29" s="56" t="s">
        <v>272</v>
      </c>
      <c r="F29" s="56" t="s">
        <v>273</v>
      </c>
      <c r="G29" s="56" t="s">
        <v>274</v>
      </c>
    </row>
    <row r="30" spans="1:7" ht="15.75" customHeight="1">
      <c r="A30" s="9" t="n">
        <v>37</v>
      </c>
      <c r="B30" s="9" t="n">
        <v>4</v>
      </c>
      <c r="C30" s="9" t="n">
        <v>4688</v>
      </c>
      <c r="D30" s="9" t="n">
        <v>4688</v>
      </c>
      <c r="E30" s="56" t="s">
        <v>272</v>
      </c>
      <c r="F30" s="56" t="s">
        <v>273</v>
      </c>
      <c r="G30" s="56" t="s">
        <v>274</v>
      </c>
    </row>
    <row r="31" spans="1:7" ht="15.75" customHeight="1">
      <c r="A31" s="9" t="n">
        <v>59</v>
      </c>
      <c r="B31" s="9" t="n">
        <v>4</v>
      </c>
      <c r="C31" s="9" t="n">
        <v>3329</v>
      </c>
      <c r="D31" s="9" t="n">
        <v>3329</v>
      </c>
      <c r="E31" s="56" t="s">
        <v>272</v>
      </c>
      <c r="F31" s="56" t="s">
        <v>273</v>
      </c>
      <c r="G31" s="56" t="s">
        <v>274</v>
      </c>
    </row>
    <row r="32" spans="1:7" ht="15.75" customHeight="1">
      <c r="A32" s="9" t="n">
        <v>5</v>
      </c>
      <c r="B32" s="9" t="n">
        <v>5</v>
      </c>
      <c r="C32" s="9" t="n">
        <v>9053</v>
      </c>
      <c r="D32" s="9" t="n">
        <v>9053</v>
      </c>
      <c r="E32" s="56" t="s">
        <v>272</v>
      </c>
      <c r="F32" s="56" t="s">
        <v>273</v>
      </c>
      <c r="G32" s="56" t="s">
        <v>274</v>
      </c>
    </row>
    <row r="33" spans="1:7" ht="15.75" customHeight="1">
      <c r="A33" s="9" t="n">
        <v>46</v>
      </c>
      <c r="B33" s="9" t="n">
        <v>5</v>
      </c>
      <c r="C33" s="9" t="n">
        <v>4118</v>
      </c>
      <c r="D33" s="9" t="n">
        <v>4118</v>
      </c>
      <c r="E33" s="56" t="s">
        <v>272</v>
      </c>
      <c r="F33" s="56" t="s">
        <v>273</v>
      </c>
      <c r="G33" s="56" t="s">
        <v>274</v>
      </c>
    </row>
    <row r="34" spans="1:7" ht="15.75" customHeight="1">
      <c r="A34" s="9" t="n">
        <v>54</v>
      </c>
      <c r="B34" s="9" t="n">
        <v>5</v>
      </c>
      <c r="C34" s="9" t="n">
        <v>3740</v>
      </c>
      <c r="D34" s="9" t="n">
        <v>3740</v>
      </c>
      <c r="E34" s="56" t="s">
        <v>272</v>
      </c>
      <c r="F34" s="56" t="s">
        <v>273</v>
      </c>
      <c r="G34" s="56" t="s">
        <v>274</v>
      </c>
    </row>
    <row r="35" spans="1:7" ht="15.75" customHeight="1">
      <c r="A35" s="9" t="n">
        <v>86</v>
      </c>
      <c r="B35" s="9" t="n">
        <v>5</v>
      </c>
      <c r="C35" s="9" t="n">
        <v>1308</v>
      </c>
      <c r="D35" s="9" t="n">
        <v>1308</v>
      </c>
      <c r="E35" s="56" t="s">
        <v>272</v>
      </c>
      <c r="F35" s="56" t="s">
        <v>273</v>
      </c>
      <c r="G35" s="56" t="s">
        <v>274</v>
      </c>
    </row>
    <row r="36" spans="1:7" ht="15.75" customHeight="1">
      <c r="A36" s="9" t="n">
        <v>4</v>
      </c>
      <c r="B36" s="9" t="n">
        <v>6</v>
      </c>
      <c r="C36" s="9" t="n">
        <v>9062</v>
      </c>
      <c r="D36" s="9" t="n">
        <v>9062</v>
      </c>
      <c r="E36" s="56" t="s">
        <v>277</v>
      </c>
      <c r="F36" s="56" t="s">
        <v>273</v>
      </c>
      <c r="G36" s="56" t="s">
        <v>273</v>
      </c>
    </row>
    <row r="37" spans="1:7" ht="15.75" customHeight="1">
      <c r="A37" s="9" t="n">
        <v>6</v>
      </c>
      <c r="B37" s="9" t="n">
        <v>6</v>
      </c>
      <c r="C37" s="9" t="n">
        <v>8413</v>
      </c>
      <c r="D37" s="9" t="n">
        <v>8413</v>
      </c>
      <c r="E37" s="56" t="s">
        <v>277</v>
      </c>
      <c r="F37" s="56" t="s">
        <v>273</v>
      </c>
      <c r="G37" s="56" t="s">
        <v>273</v>
      </c>
    </row>
    <row r="38" spans="1:7" ht="15.75" customHeight="1">
      <c r="A38" s="9" t="n">
        <v>55</v>
      </c>
      <c r="B38" s="9" t="n">
        <v>7</v>
      </c>
      <c r="C38" s="9" t="n">
        <v>3582</v>
      </c>
      <c r="D38" s="9" t="n">
        <v>3582</v>
      </c>
      <c r="E38" s="56" t="s">
        <v>278</v>
      </c>
      <c r="F38" s="56" t="s">
        <v>276</v>
      </c>
      <c r="G38" s="56" t="s">
        <v>279</v>
      </c>
    </row>
    <row r="39" spans="1:7" ht="15.75" customHeight="1">
      <c r="A39" s="9" t="n">
        <v>60</v>
      </c>
      <c r="B39" s="9" t="n">
        <v>7</v>
      </c>
      <c r="C39" s="9" t="n">
        <v>3251</v>
      </c>
      <c r="D39" s="9" t="n">
        <v>3251</v>
      </c>
      <c r="E39" s="56" t="s">
        <v>278</v>
      </c>
      <c r="F39" s="56" t="s">
        <v>276</v>
      </c>
      <c r="G39" s="56" t="s">
        <v>279</v>
      </c>
    </row>
    <row r="40" spans="1:7" ht="15.75" customHeight="1">
      <c r="A40" s="9" t="n">
        <v>63</v>
      </c>
      <c r="B40" s="9" t="n">
        <v>7</v>
      </c>
      <c r="C40" s="9" t="n">
        <v>3107</v>
      </c>
      <c r="D40" s="9" t="n">
        <v>3107</v>
      </c>
      <c r="E40" s="56" t="s">
        <v>278</v>
      </c>
      <c r="F40" s="56" t="s">
        <v>273</v>
      </c>
      <c r="G40" s="56" t="s">
        <v>279</v>
      </c>
    </row>
    <row r="41" spans="1:7" ht="15.75" customHeight="1">
      <c r="A41" s="9" t="n">
        <v>74</v>
      </c>
      <c r="B41" s="9" t="n">
        <v>7</v>
      </c>
      <c r="C41" s="9" t="n">
        <v>2110</v>
      </c>
      <c r="D41" s="9" t="n">
        <v>2110</v>
      </c>
      <c r="E41" s="56" t="s">
        <v>278</v>
      </c>
      <c r="F41" s="56" t="s">
        <v>276</v>
      </c>
      <c r="G41" s="56" t="s">
        <v>279</v>
      </c>
    </row>
    <row r="42" spans="1:7" ht="15.75" customHeight="1">
      <c r="A42" s="9" t="n">
        <v>77</v>
      </c>
      <c r="B42" s="9" t="n">
        <v>7</v>
      </c>
      <c r="C42" s="9" t="n">
        <v>2057</v>
      </c>
      <c r="D42" s="9" t="n">
        <v>2057</v>
      </c>
      <c r="E42" s="56" t="s">
        <v>278</v>
      </c>
      <c r="F42" s="56" t="s">
        <v>273</v>
      </c>
      <c r="G42" s="56" t="s">
        <v>279</v>
      </c>
    </row>
    <row r="43" spans="1:7" ht="15.75" customHeight="1">
      <c r="A43" s="9" t="n">
        <v>1</v>
      </c>
      <c r="B43" s="9" t="n">
        <v>8</v>
      </c>
      <c r="C43" s="9" t="n">
        <v>12680</v>
      </c>
      <c r="D43" s="9" t="n">
        <v>12680</v>
      </c>
      <c r="E43" s="56" t="s">
        <v>277</v>
      </c>
      <c r="F43" s="56" t="s">
        <v>273</v>
      </c>
      <c r="G43" s="56" t="s">
        <v>273</v>
      </c>
    </row>
    <row r="44" spans="1:7" ht="15.75" customHeight="1">
      <c r="A44" s="9" t="n">
        <v>15</v>
      </c>
      <c r="B44" s="9" t="n">
        <v>9</v>
      </c>
      <c r="C44" s="9" t="n">
        <v>7442</v>
      </c>
      <c r="D44" s="9" t="n">
        <v>7442</v>
      </c>
      <c r="E44" s="56" t="s">
        <v>275</v>
      </c>
      <c r="F44" s="56" t="s">
        <v>276</v>
      </c>
      <c r="G44" s="56" t="s">
        <v>273</v>
      </c>
    </row>
    <row r="45" spans="1:7" ht="15.75" customHeight="1">
      <c r="A45" s="9" t="n">
        <v>57</v>
      </c>
      <c r="B45" s="9" t="n">
        <v>9</v>
      </c>
      <c r="C45" s="9" t="n">
        <v>3534</v>
      </c>
      <c r="D45" s="9" t="n">
        <v>3534</v>
      </c>
      <c r="E45" s="56" t="s">
        <v>275</v>
      </c>
      <c r="F45" s="56" t="s">
        <v>273</v>
      </c>
      <c r="G45" s="56" t="s">
        <v>273</v>
      </c>
    </row>
    <row r="46" spans="1:7" ht="15.75" customHeight="1">
      <c r="A46" s="9" t="n">
        <v>30</v>
      </c>
      <c r="B46" s="9" t="n">
        <v>10</v>
      </c>
      <c r="C46" s="9" t="n">
        <v>5035</v>
      </c>
      <c r="D46" s="9" t="n">
        <v>5035</v>
      </c>
      <c r="E46" s="56" t="s">
        <v>272</v>
      </c>
      <c r="F46" s="56" t="s">
        <v>276</v>
      </c>
      <c r="G46" s="56" t="s">
        <v>274</v>
      </c>
    </row>
    <row r="47" spans="1:7" ht="15.75" customHeight="1">
      <c r="A47" s="9" t="n">
        <v>31</v>
      </c>
      <c r="B47" s="9" t="n">
        <v>10</v>
      </c>
      <c r="C47" s="9" t="n">
        <v>5022</v>
      </c>
      <c r="D47" s="9" t="n">
        <v>5022</v>
      </c>
      <c r="E47" s="56" t="s">
        <v>272</v>
      </c>
      <c r="F47" s="56" t="s">
        <v>273</v>
      </c>
      <c r="G47" s="56" t="s">
        <v>274</v>
      </c>
    </row>
    <row r="48" spans="1:7" ht="15.75" customHeight="1">
      <c r="A48" s="9" t="n">
        <v>23</v>
      </c>
      <c r="B48" s="9" t="n">
        <v>11</v>
      </c>
      <c r="C48" s="9" t="n">
        <v>5618</v>
      </c>
      <c r="D48" s="9" t="n">
        <v>5618</v>
      </c>
      <c r="E48" s="56" t="s">
        <v>280</v>
      </c>
      <c r="F48" s="56" t="s">
        <v>273</v>
      </c>
      <c r="G48" s="56" t="s">
        <v>281</v>
      </c>
    </row>
    <row r="49" spans="1:7" ht="15.75" customHeight="1">
      <c r="A49" s="9" t="n">
        <v>45</v>
      </c>
      <c r="B49" s="9" t="n">
        <v>11</v>
      </c>
      <c r="C49" s="9" t="n">
        <v>4353</v>
      </c>
      <c r="D49" s="9" t="n">
        <v>4353</v>
      </c>
      <c r="E49" s="56" t="s">
        <v>280</v>
      </c>
      <c r="F49" s="56" t="s">
        <v>273</v>
      </c>
      <c r="G49" s="56" t="s">
        <v>281</v>
      </c>
    </row>
    <row r="50" spans="1:7" ht="15.75" customHeight="1">
      <c r="A50" s="9" t="n">
        <v>28</v>
      </c>
      <c r="B50" s="9" t="n">
        <v>12</v>
      </c>
      <c r="C50" s="9" t="n">
        <v>5230</v>
      </c>
      <c r="D50" s="9" t="n">
        <v>5230</v>
      </c>
      <c r="E50" s="56" t="s">
        <v>272</v>
      </c>
      <c r="F50" s="56" t="s">
        <v>273</v>
      </c>
      <c r="G50" s="56" t="s">
        <v>274</v>
      </c>
    </row>
    <row r="51" spans="1:7" ht="15.75" customHeight="1">
      <c r="A51" s="9" t="n">
        <v>42</v>
      </c>
      <c r="B51" s="9" t="n">
        <v>12</v>
      </c>
      <c r="C51" s="9" t="n">
        <v>4505</v>
      </c>
      <c r="D51" s="9" t="n">
        <v>4505</v>
      </c>
      <c r="E51" s="56" t="s">
        <v>272</v>
      </c>
      <c r="F51" s="56" t="s">
        <v>273</v>
      </c>
      <c r="G51" s="56" t="s">
        <v>274</v>
      </c>
    </row>
    <row r="52" spans="1:7" ht="15.75" customHeight="1">
      <c r="A52" s="9" t="n">
        <v>29</v>
      </c>
      <c r="B52" s="9" t="n">
        <v>13</v>
      </c>
      <c r="C52" s="9" t="n">
        <v>5079</v>
      </c>
      <c r="D52" s="9" t="n">
        <v>5079</v>
      </c>
      <c r="E52" s="56" t="s">
        <v>280</v>
      </c>
      <c r="F52" s="56" t="s">
        <v>273</v>
      </c>
      <c r="G52" s="56" t="s">
        <v>281</v>
      </c>
    </row>
    <row r="53" spans="1:7" ht="15.75" customHeight="1">
      <c r="A53" s="9" t="n">
        <v>41</v>
      </c>
      <c r="B53" s="9" t="n">
        <v>13</v>
      </c>
      <c r="C53" s="9" t="n">
        <v>4513</v>
      </c>
      <c r="D53" s="9" t="n">
        <v>4513</v>
      </c>
      <c r="E53" s="56" t="s">
        <v>280</v>
      </c>
      <c r="F53" s="56" t="s">
        <v>273</v>
      </c>
      <c r="G53" s="56" t="s">
        <v>281</v>
      </c>
    </row>
    <row r="54" spans="1:7" ht="15.75" customHeight="1">
      <c r="A54" s="9" t="n">
        <v>34</v>
      </c>
      <c r="B54" s="9" t="n">
        <v>14</v>
      </c>
      <c r="C54" s="9" t="n">
        <v>4872</v>
      </c>
      <c r="D54" s="9" t="n">
        <v>4872</v>
      </c>
      <c r="E54" s="56" t="s">
        <v>280</v>
      </c>
      <c r="F54" s="56" t="s">
        <v>273</v>
      </c>
      <c r="G54" s="56" t="s">
        <v>281</v>
      </c>
    </row>
    <row r="55" spans="1:7" ht="15.75" customHeight="1">
      <c r="A55" s="9" t="n">
        <v>38</v>
      </c>
      <c r="B55" s="9" t="n">
        <v>14</v>
      </c>
      <c r="C55" s="9" t="n">
        <v>4686</v>
      </c>
      <c r="D55" s="9" t="n">
        <v>4686</v>
      </c>
      <c r="E55" s="56" t="s">
        <v>280</v>
      </c>
      <c r="F55" s="56" t="s">
        <v>273</v>
      </c>
      <c r="G55" s="56" t="s">
        <v>281</v>
      </c>
    </row>
    <row r="56" spans="1:7" ht="15.75" customHeight="1">
      <c r="A56" s="9" t="n">
        <v>50</v>
      </c>
      <c r="B56" s="9" t="n">
        <v>15</v>
      </c>
      <c r="C56" s="9" t="n">
        <v>3883</v>
      </c>
      <c r="D56" s="9" t="n">
        <v>3883</v>
      </c>
      <c r="E56" s="56" t="s">
        <v>280</v>
      </c>
      <c r="F56" s="56" t="s">
        <v>273</v>
      </c>
      <c r="G56" s="56" t="s">
        <v>281</v>
      </c>
    </row>
    <row r="57" spans="1:7" ht="15.75" customHeight="1">
      <c r="A57" s="9" t="n">
        <v>52</v>
      </c>
      <c r="B57" s="9" t="n">
        <v>15</v>
      </c>
      <c r="C57" s="9" t="n">
        <v>3837</v>
      </c>
      <c r="D57" s="9" t="n">
        <v>3837</v>
      </c>
      <c r="E57" s="56" t="s">
        <v>280</v>
      </c>
      <c r="F57" s="56" t="s">
        <v>273</v>
      </c>
      <c r="G57" s="56" t="s">
        <v>281</v>
      </c>
    </row>
    <row r="58" spans="1:7" ht="15.75" customHeight="1">
      <c r="A58" s="9" t="n">
        <v>102</v>
      </c>
      <c r="B58" s="9" t="n">
        <v>15</v>
      </c>
      <c r="C58" s="9" t="n">
        <v>917</v>
      </c>
      <c r="D58" s="9" t="n">
        <v>917</v>
      </c>
      <c r="E58" s="56" t="s">
        <v>280</v>
      </c>
      <c r="F58" s="56" t="s">
        <v>273</v>
      </c>
      <c r="G58" s="56" t="s">
        <v>281</v>
      </c>
    </row>
    <row r="59" spans="1:7" ht="15.75" customHeight="1">
      <c r="A59" s="9" t="n">
        <v>27</v>
      </c>
      <c r="B59" s="9" t="n">
        <v>16</v>
      </c>
      <c r="C59" s="9" t="n">
        <v>5556</v>
      </c>
      <c r="D59" s="9" t="n">
        <v>5556</v>
      </c>
      <c r="E59" s="56" t="s">
        <v>272</v>
      </c>
      <c r="F59" s="56" t="s">
        <v>273</v>
      </c>
      <c r="G59" s="56" t="s">
        <v>274</v>
      </c>
    </row>
    <row r="60" spans="1:7" ht="15.75" customHeight="1">
      <c r="A60" s="9" t="n">
        <v>65</v>
      </c>
      <c r="B60" s="9" t="n">
        <v>16</v>
      </c>
      <c r="C60" s="9" t="n">
        <v>2858</v>
      </c>
      <c r="D60" s="9" t="n">
        <v>2858</v>
      </c>
      <c r="E60" s="56" t="s">
        <v>272</v>
      </c>
      <c r="F60" s="56" t="s">
        <v>273</v>
      </c>
      <c r="G60" s="56" t="s">
        <v>274</v>
      </c>
    </row>
    <row r="61" spans="1:7" ht="15.75" customHeight="1">
      <c r="A61" s="9" t="n">
        <v>11</v>
      </c>
      <c r="B61" s="9" t="n">
        <v>17</v>
      </c>
      <c r="C61" s="9" t="n">
        <v>7698</v>
      </c>
      <c r="D61" s="9" t="n">
        <v>7698</v>
      </c>
      <c r="E61" s="56" t="s">
        <v>277</v>
      </c>
      <c r="F61" s="56" t="s">
        <v>282</v>
      </c>
      <c r="G61" s="56" t="s">
        <v>283</v>
      </c>
    </row>
    <row r="62" spans="1:7" ht="15.75" customHeight="1">
      <c r="A62" s="9" t="n">
        <v>16</v>
      </c>
      <c r="B62" s="9" t="n">
        <v>18</v>
      </c>
      <c r="C62" s="9" t="n">
        <v>7151</v>
      </c>
      <c r="D62" s="9" t="n">
        <v>7151</v>
      </c>
      <c r="E62" s="56" t="s">
        <v>284</v>
      </c>
      <c r="F62" s="56" t="s">
        <v>282</v>
      </c>
      <c r="G62" s="56" t="s">
        <v>283</v>
      </c>
    </row>
    <row r="63" spans="1:7" ht="15.75" customHeight="1">
      <c r="A63" s="9" t="n">
        <v>20</v>
      </c>
      <c r="B63" s="9" t="n">
        <v>19</v>
      </c>
      <c r="C63" s="9" t="n">
        <v>6113</v>
      </c>
      <c r="D63" s="9" t="n">
        <v>6113</v>
      </c>
      <c r="E63" s="56" t="s">
        <v>272</v>
      </c>
      <c r="F63" s="56" t="s">
        <v>273</v>
      </c>
      <c r="G63" s="56" t="s">
        <v>274</v>
      </c>
    </row>
    <row r="64" spans="1:7" ht="15.75" customHeight="1">
      <c r="A64" s="9" t="n">
        <v>106</v>
      </c>
      <c r="B64" s="9" t="n">
        <v>19</v>
      </c>
      <c r="C64" s="9" t="n">
        <v>801</v>
      </c>
      <c r="D64" s="9" t="n">
        <v>801</v>
      </c>
      <c r="E64" s="56" t="s">
        <v>272</v>
      </c>
      <c r="F64" s="56" t="s">
        <v>273</v>
      </c>
      <c r="G64" s="56" t="s">
        <v>274</v>
      </c>
    </row>
    <row r="65" spans="1:7" ht="15.75" customHeight="1">
      <c r="A65" s="9" t="n">
        <v>24</v>
      </c>
      <c r="B65" s="9" t="n">
        <v>20</v>
      </c>
      <c r="C65" s="9" t="n">
        <v>5612</v>
      </c>
      <c r="D65" s="9" t="n">
        <v>5612</v>
      </c>
      <c r="E65" s="56" t="s">
        <v>272</v>
      </c>
      <c r="F65" s="56" t="s">
        <v>273</v>
      </c>
      <c r="G65" s="56" t="s">
        <v>274</v>
      </c>
    </row>
    <row r="66" spans="1:7" ht="15.75" customHeight="1">
      <c r="A66" s="9" t="n">
        <v>104</v>
      </c>
      <c r="B66" s="9" t="n">
        <v>20</v>
      </c>
      <c r="C66" s="9" t="n">
        <v>872</v>
      </c>
      <c r="D66" s="9" t="n">
        <v>872</v>
      </c>
      <c r="E66" s="56" t="s">
        <v>272</v>
      </c>
      <c r="F66" s="56" t="s">
        <v>273</v>
      </c>
      <c r="G66" s="56" t="s">
        <v>274</v>
      </c>
    </row>
    <row r="67" spans="1:7" ht="15.75" customHeight="1">
      <c r="A67" s="9" t="n">
        <v>21</v>
      </c>
      <c r="B67" s="9" t="n">
        <v>21</v>
      </c>
      <c r="C67" s="9" t="n">
        <v>5942</v>
      </c>
      <c r="D67" s="9" t="n">
        <v>5942</v>
      </c>
      <c r="E67" s="56" t="s">
        <v>272</v>
      </c>
      <c r="F67" s="56" t="s">
        <v>273</v>
      </c>
      <c r="G67" s="56" t="s">
        <v>274</v>
      </c>
    </row>
    <row r="68" spans="1:7" ht="15.75" customHeight="1">
      <c r="A68" s="9" t="n">
        <v>25</v>
      </c>
      <c r="B68" s="9" t="n">
        <v>22</v>
      </c>
      <c r="C68" s="9" t="n">
        <v>5590</v>
      </c>
      <c r="D68" s="9" t="n">
        <v>5590</v>
      </c>
      <c r="E68" s="56" t="s">
        <v>277</v>
      </c>
      <c r="F68" s="56" t="s">
        <v>282</v>
      </c>
      <c r="G68" s="56" t="s">
        <v>283</v>
      </c>
    </row>
    <row r="69" spans="1:7" ht="15.75" customHeight="1">
      <c r="A69" s="9" t="n">
        <v>33</v>
      </c>
      <c r="B69" s="9" t="n">
        <v>23</v>
      </c>
      <c r="C69" s="9" t="n">
        <v>4920</v>
      </c>
      <c r="D69" s="9" t="n">
        <v>4920</v>
      </c>
      <c r="E69" s="56" t="s">
        <v>272</v>
      </c>
      <c r="F69" s="56" t="s">
        <v>273</v>
      </c>
      <c r="G69" s="56" t="s">
        <v>274</v>
      </c>
    </row>
    <row r="70" spans="1:7" ht="15.75" customHeight="1">
      <c r="A70" s="9" t="n">
        <v>36</v>
      </c>
      <c r="B70" s="9" t="n">
        <v>24</v>
      </c>
      <c r="C70" s="9" t="n">
        <v>4838</v>
      </c>
      <c r="D70" s="9" t="n">
        <v>4838</v>
      </c>
      <c r="E70" s="56" t="s">
        <v>285</v>
      </c>
      <c r="F70" s="56" t="s">
        <v>273</v>
      </c>
      <c r="G70" s="56" t="s">
        <v>286</v>
      </c>
    </row>
    <row r="71" spans="1:7" ht="15.75" customHeight="1">
      <c r="A71" s="9" t="n">
        <v>40</v>
      </c>
      <c r="B71" s="9" t="n">
        <v>25</v>
      </c>
      <c r="C71" s="9" t="n">
        <v>4545</v>
      </c>
      <c r="D71" s="9" t="n">
        <v>4545</v>
      </c>
      <c r="E71" s="56" t="s">
        <v>277</v>
      </c>
      <c r="F71" s="56" t="s">
        <v>273</v>
      </c>
      <c r="G71" s="56" t="s">
        <v>273</v>
      </c>
    </row>
    <row r="72" spans="1:7" ht="15.75" customHeight="1">
      <c r="A72" s="9" t="n">
        <v>43</v>
      </c>
      <c r="B72" s="9" t="n">
        <v>26</v>
      </c>
      <c r="C72" s="9" t="n">
        <v>4398</v>
      </c>
      <c r="D72" s="9" t="n">
        <v>4398</v>
      </c>
      <c r="E72" s="56" t="s">
        <v>287</v>
      </c>
      <c r="F72" s="56" t="s">
        <v>288</v>
      </c>
      <c r="G72" s="56" t="s">
        <v>289</v>
      </c>
    </row>
    <row r="73" spans="1:7" ht="15.75" customHeight="1">
      <c r="A73" s="9" t="n">
        <v>44</v>
      </c>
      <c r="B73" s="9" t="n">
        <v>27</v>
      </c>
      <c r="C73" s="9" t="n">
        <v>4373</v>
      </c>
      <c r="D73" s="9" t="n">
        <v>4373</v>
      </c>
      <c r="E73" s="56" t="s">
        <v>277</v>
      </c>
      <c r="F73" s="56" t="s">
        <v>273</v>
      </c>
      <c r="G73" s="56" t="s">
        <v>273</v>
      </c>
    </row>
    <row r="74" spans="1:7" ht="15.75" customHeight="1">
      <c r="A74" s="9" t="n">
        <v>47</v>
      </c>
      <c r="B74" s="9" t="n">
        <v>28</v>
      </c>
      <c r="C74" s="9" t="n">
        <v>4111</v>
      </c>
      <c r="D74" s="9" t="n">
        <v>4111</v>
      </c>
      <c r="E74" s="56" t="s">
        <v>272</v>
      </c>
      <c r="F74" s="56" t="s">
        <v>273</v>
      </c>
      <c r="G74" s="56" t="s">
        <v>274</v>
      </c>
    </row>
    <row r="75" spans="1:7" ht="15.75" customHeight="1">
      <c r="A75" s="9" t="n">
        <v>49</v>
      </c>
      <c r="B75" s="9" t="n">
        <v>29</v>
      </c>
      <c r="C75" s="9" t="n">
        <v>3968</v>
      </c>
      <c r="D75" s="9" t="n">
        <v>3968</v>
      </c>
      <c r="E75" s="56" t="s">
        <v>277</v>
      </c>
      <c r="F75" s="56" t="s">
        <v>273</v>
      </c>
      <c r="G75" s="56" t="s">
        <v>273</v>
      </c>
    </row>
    <row r="76" spans="1:7" ht="15.75" customHeight="1">
      <c r="A76" s="9" t="n">
        <v>51</v>
      </c>
      <c r="B76" s="9" t="n">
        <v>30</v>
      </c>
      <c r="C76" s="9" t="n">
        <v>3879</v>
      </c>
      <c r="D76" s="9" t="n">
        <v>3879</v>
      </c>
      <c r="E76" s="56" t="s">
        <v>277</v>
      </c>
      <c r="F76" s="56" t="s">
        <v>273</v>
      </c>
      <c r="G76" s="56" t="s">
        <v>273</v>
      </c>
    </row>
    <row r="77" spans="1:7" ht="15.75" customHeight="1">
      <c r="A77" s="9" t="n">
        <v>53</v>
      </c>
      <c r="B77" s="9" t="n">
        <v>31</v>
      </c>
      <c r="C77" s="9" t="n">
        <v>3784</v>
      </c>
      <c r="D77" s="9" t="n">
        <v>3784</v>
      </c>
      <c r="E77" s="56" t="s">
        <v>272</v>
      </c>
      <c r="F77" s="56" t="s">
        <v>273</v>
      </c>
      <c r="G77" s="56" t="s">
        <v>274</v>
      </c>
    </row>
    <row r="78" spans="1:7" ht="15.75" customHeight="1">
      <c r="A78" s="9" t="n">
        <v>56</v>
      </c>
      <c r="B78" s="9" t="n">
        <v>32</v>
      </c>
      <c r="C78" s="9" t="n">
        <v>3564</v>
      </c>
      <c r="D78" s="9" t="n">
        <v>3564</v>
      </c>
      <c r="E78" s="56" t="s">
        <v>280</v>
      </c>
      <c r="F78" s="56" t="s">
        <v>276</v>
      </c>
      <c r="G78" s="56" t="s">
        <v>281</v>
      </c>
    </row>
    <row r="79" spans="1:7" ht="15.75" customHeight="1">
      <c r="A79" s="9" t="n">
        <v>58</v>
      </c>
      <c r="B79" s="9" t="n">
        <v>33</v>
      </c>
      <c r="C79" s="9" t="n">
        <v>3426</v>
      </c>
      <c r="D79" s="9" t="n">
        <v>3426</v>
      </c>
      <c r="E79" s="56" t="s">
        <v>287</v>
      </c>
      <c r="F79" s="56" t="s">
        <v>288</v>
      </c>
      <c r="G79" s="56" t="s">
        <v>289</v>
      </c>
    </row>
    <row r="80" spans="1:7" ht="15.75" customHeight="1">
      <c r="A80" s="9" t="n">
        <v>61</v>
      </c>
      <c r="B80" s="9" t="n">
        <v>34</v>
      </c>
      <c r="C80" s="9" t="n">
        <v>3220</v>
      </c>
      <c r="D80" s="9" t="n">
        <v>3220</v>
      </c>
      <c r="E80" s="56" t="s">
        <v>277</v>
      </c>
      <c r="F80" s="56" t="s">
        <v>273</v>
      </c>
      <c r="G80" s="56" t="s">
        <v>273</v>
      </c>
    </row>
    <row r="81" spans="1:7" ht="15.75" customHeight="1">
      <c r="A81" s="9" t="n">
        <v>62</v>
      </c>
      <c r="B81" s="9" t="n">
        <v>35</v>
      </c>
      <c r="C81" s="9" t="n">
        <v>3151</v>
      </c>
      <c r="D81" s="9" t="n">
        <v>3151</v>
      </c>
      <c r="E81" s="56" t="s">
        <v>287</v>
      </c>
      <c r="F81" s="56" t="s">
        <v>288</v>
      </c>
      <c r="G81" s="56" t="s">
        <v>289</v>
      </c>
    </row>
    <row r="82" spans="1:7" ht="15.75" customHeight="1">
      <c r="A82" s="9" t="n">
        <v>66</v>
      </c>
      <c r="B82" s="9" t="n">
        <v>36</v>
      </c>
      <c r="C82" s="9" t="n">
        <v>2743</v>
      </c>
      <c r="D82" s="9" t="n">
        <v>2743</v>
      </c>
      <c r="E82" s="56" t="s">
        <v>272</v>
      </c>
      <c r="F82" s="56" t="s">
        <v>273</v>
      </c>
      <c r="G82" s="56" t="s">
        <v>274</v>
      </c>
    </row>
    <row r="83" spans="1:7" ht="15.75" customHeight="1">
      <c r="A83" s="9" t="n">
        <v>67</v>
      </c>
      <c r="B83" s="9" t="n">
        <v>37</v>
      </c>
      <c r="C83" s="9" t="n">
        <v>2718</v>
      </c>
      <c r="D83" s="9" t="n">
        <v>2718</v>
      </c>
      <c r="E83" s="56" t="s">
        <v>272</v>
      </c>
      <c r="F83" s="56" t="s">
        <v>273</v>
      </c>
      <c r="G83" s="56" t="s">
        <v>274</v>
      </c>
    </row>
    <row r="84" spans="1:7" ht="15.75" customHeight="1">
      <c r="A84" s="9" t="n">
        <v>68</v>
      </c>
      <c r="B84" s="9" t="n">
        <v>38</v>
      </c>
      <c r="C84" s="9" t="n">
        <v>2614</v>
      </c>
      <c r="D84" s="9" t="n">
        <v>2614</v>
      </c>
      <c r="E84" s="56" t="s">
        <v>290</v>
      </c>
      <c r="F84" s="56" t="s">
        <v>282</v>
      </c>
      <c r="G84" s="56" t="s">
        <v>283</v>
      </c>
    </row>
    <row r="85" spans="1:7" ht="15.75" customHeight="1">
      <c r="A85" s="9" t="n">
        <v>69</v>
      </c>
      <c r="B85" s="9" t="n">
        <v>39</v>
      </c>
      <c r="C85" s="9" t="n">
        <v>2604</v>
      </c>
      <c r="D85" s="9" t="n">
        <v>2604</v>
      </c>
      <c r="E85" s="56" t="s">
        <v>277</v>
      </c>
      <c r="F85" s="56" t="s">
        <v>282</v>
      </c>
      <c r="G85" s="56" t="s">
        <v>283</v>
      </c>
    </row>
    <row r="86" spans="1:7" ht="15.75" customHeight="1">
      <c r="A86" s="9" t="n">
        <v>70</v>
      </c>
      <c r="B86" s="9" t="n">
        <v>40</v>
      </c>
      <c r="C86" s="9" t="n">
        <v>2400</v>
      </c>
      <c r="D86" s="9" t="n">
        <v>2400</v>
      </c>
      <c r="E86" s="56" t="s">
        <v>277</v>
      </c>
      <c r="F86" s="56" t="s">
        <v>273</v>
      </c>
      <c r="G86" s="56" t="s">
        <v>273</v>
      </c>
    </row>
    <row r="87" spans="1:7" ht="15.75" customHeight="1">
      <c r="A87" s="9" t="n">
        <v>71</v>
      </c>
      <c r="B87" s="9" t="n">
        <v>41</v>
      </c>
      <c r="C87" s="9" t="n">
        <v>2283</v>
      </c>
      <c r="D87" s="9" t="n">
        <v>2283</v>
      </c>
      <c r="E87" s="56" t="s">
        <v>287</v>
      </c>
      <c r="F87" s="56" t="s">
        <v>288</v>
      </c>
      <c r="G87" s="56" t="s">
        <v>289</v>
      </c>
    </row>
    <row r="88" spans="1:7" ht="15.75" customHeight="1">
      <c r="A88" s="9" t="n">
        <v>72</v>
      </c>
      <c r="B88" s="9" t="n">
        <v>42</v>
      </c>
      <c r="C88" s="9" t="n">
        <v>2186</v>
      </c>
      <c r="D88" s="9" t="n">
        <v>2186</v>
      </c>
      <c r="E88" s="56" t="s">
        <v>277</v>
      </c>
      <c r="F88" s="56" t="s">
        <v>273</v>
      </c>
      <c r="G88" s="56" t="s">
        <v>273</v>
      </c>
    </row>
    <row r="89" spans="1:7" ht="15.75" customHeight="1">
      <c r="A89" s="9" t="n">
        <v>73</v>
      </c>
      <c r="B89" s="9" t="n">
        <v>43</v>
      </c>
      <c r="C89" s="9" t="n">
        <v>2112</v>
      </c>
      <c r="D89" s="9" t="n">
        <v>2112</v>
      </c>
      <c r="E89" s="56" t="s">
        <v>272</v>
      </c>
      <c r="F89" s="56" t="s">
        <v>273</v>
      </c>
      <c r="G89" s="56" t="s">
        <v>274</v>
      </c>
    </row>
    <row r="90" spans="1:7" ht="15.75" customHeight="1">
      <c r="A90" s="9" t="n">
        <v>75</v>
      </c>
      <c r="B90" s="9" t="n">
        <v>44</v>
      </c>
      <c r="C90" s="9" t="n">
        <v>2110</v>
      </c>
      <c r="D90" s="9" t="n">
        <v>2110</v>
      </c>
      <c r="E90" s="56" t="s">
        <v>272</v>
      </c>
      <c r="F90" s="56" t="s">
        <v>273</v>
      </c>
      <c r="G90" s="56" t="s">
        <v>274</v>
      </c>
    </row>
    <row r="91" spans="1:7" ht="15.75" customHeight="1">
      <c r="A91" s="9" t="n">
        <v>76</v>
      </c>
      <c r="B91" s="9" t="n">
        <v>45</v>
      </c>
      <c r="C91" s="9" t="n">
        <v>2075</v>
      </c>
      <c r="D91" s="9" t="n">
        <v>2075</v>
      </c>
      <c r="E91" s="56" t="s">
        <v>272</v>
      </c>
      <c r="F91" s="56" t="s">
        <v>273</v>
      </c>
      <c r="G91" s="56" t="s">
        <v>274</v>
      </c>
    </row>
    <row r="92" spans="1:7" ht="15.75" customHeight="1">
      <c r="A92" s="9" t="n">
        <v>78</v>
      </c>
      <c r="B92" s="9" t="n">
        <v>46</v>
      </c>
      <c r="C92" s="9" t="n">
        <v>1861</v>
      </c>
      <c r="D92" s="9" t="n">
        <v>1861</v>
      </c>
      <c r="E92" s="56" t="s">
        <v>277</v>
      </c>
      <c r="F92" s="56" t="s">
        <v>273</v>
      </c>
      <c r="G92" s="56" t="s">
        <v>273</v>
      </c>
    </row>
    <row r="93" spans="1:7" ht="15.75" customHeight="1">
      <c r="A93" s="9" t="n">
        <v>79</v>
      </c>
      <c r="B93" s="9" t="n">
        <v>47</v>
      </c>
      <c r="C93" s="9" t="n">
        <v>1802</v>
      </c>
      <c r="D93" s="9" t="n">
        <v>1802</v>
      </c>
      <c r="E93" s="56" t="s">
        <v>287</v>
      </c>
      <c r="F93" s="56" t="s">
        <v>288</v>
      </c>
      <c r="G93" s="56" t="s">
        <v>289</v>
      </c>
    </row>
    <row r="94" spans="1:7" ht="15.75" customHeight="1">
      <c r="A94" s="9" t="n">
        <v>80</v>
      </c>
      <c r="B94" s="9" t="n">
        <v>48</v>
      </c>
      <c r="C94" s="9" t="n">
        <v>1633</v>
      </c>
      <c r="D94" s="9" t="n">
        <v>1633</v>
      </c>
      <c r="E94" s="56" t="s">
        <v>272</v>
      </c>
      <c r="F94" s="56" t="s">
        <v>273</v>
      </c>
      <c r="G94" s="56" t="s">
        <v>274</v>
      </c>
    </row>
    <row r="95" spans="1:7" ht="15.75" customHeight="1">
      <c r="A95" s="9" t="n">
        <v>81</v>
      </c>
      <c r="B95" s="9" t="n">
        <v>49</v>
      </c>
      <c r="C95" s="9" t="n">
        <v>1501</v>
      </c>
      <c r="D95" s="9" t="n">
        <v>1501</v>
      </c>
      <c r="E95" s="56" t="s">
        <v>272</v>
      </c>
      <c r="F95" s="56" t="s">
        <v>273</v>
      </c>
      <c r="G95" s="56" t="s">
        <v>274</v>
      </c>
    </row>
    <row r="96" spans="1:7" ht="15.75" customHeight="1">
      <c r="A96" s="9" t="n">
        <v>82</v>
      </c>
      <c r="B96" s="9" t="n">
        <v>50</v>
      </c>
      <c r="C96" s="9" t="n">
        <v>1471</v>
      </c>
      <c r="D96" s="9" t="n">
        <v>1471</v>
      </c>
      <c r="E96" s="56" t="s">
        <v>287</v>
      </c>
      <c r="F96" s="56" t="s">
        <v>288</v>
      </c>
      <c r="G96" s="56" t="s">
        <v>289</v>
      </c>
    </row>
    <row r="97" spans="1:7" ht="15.75" customHeight="1">
      <c r="A97" s="9" t="n">
        <v>83</v>
      </c>
      <c r="B97" s="9" t="n">
        <v>51</v>
      </c>
      <c r="C97" s="9" t="n">
        <v>1454</v>
      </c>
      <c r="D97" s="9" t="n">
        <v>1454</v>
      </c>
      <c r="E97" s="56" t="s">
        <v>277</v>
      </c>
      <c r="F97" s="56" t="s">
        <v>273</v>
      </c>
      <c r="G97" s="56" t="s">
        <v>273</v>
      </c>
    </row>
    <row r="98" spans="1:7" ht="15.75" customHeight="1">
      <c r="A98" s="9" t="n">
        <v>84</v>
      </c>
      <c r="B98" s="9" t="n">
        <v>52</v>
      </c>
      <c r="C98" s="9" t="n">
        <v>1443</v>
      </c>
      <c r="D98" s="9" t="n">
        <v>1443</v>
      </c>
      <c r="E98" s="56" t="s">
        <v>277</v>
      </c>
      <c r="F98" s="56" t="s">
        <v>273</v>
      </c>
      <c r="G98" s="56" t="s">
        <v>273</v>
      </c>
    </row>
    <row r="99" spans="1:7" ht="15.75" customHeight="1">
      <c r="A99" s="9" t="n">
        <v>85</v>
      </c>
      <c r="B99" s="9" t="n">
        <v>53</v>
      </c>
      <c r="C99" s="9" t="n">
        <v>1378</v>
      </c>
      <c r="D99" s="9" t="n">
        <v>1378</v>
      </c>
      <c r="E99" s="56" t="s">
        <v>287</v>
      </c>
      <c r="F99" s="56" t="s">
        <v>276</v>
      </c>
      <c r="G99" s="56" t="s">
        <v>289</v>
      </c>
    </row>
    <row r="100" spans="1:7" ht="15.75" customHeight="1">
      <c r="A100" s="9" t="n">
        <v>87</v>
      </c>
      <c r="B100" s="9" t="n">
        <v>54</v>
      </c>
      <c r="C100" s="9" t="n">
        <v>1242</v>
      </c>
      <c r="D100" s="9" t="n">
        <v>1242</v>
      </c>
      <c r="E100" s="56" t="s">
        <v>291</v>
      </c>
      <c r="F100" s="56" t="s">
        <v>273</v>
      </c>
      <c r="G100" s="56" t="s">
        <v>292</v>
      </c>
    </row>
    <row r="101" spans="1:7" ht="15.75" customHeight="1">
      <c r="A101" s="9" t="n">
        <v>88</v>
      </c>
      <c r="B101" s="9" t="n">
        <v>55</v>
      </c>
      <c r="C101" s="9" t="n">
        <v>1241</v>
      </c>
      <c r="D101" s="9" t="n">
        <v>1241</v>
      </c>
      <c r="E101" s="56" t="s">
        <v>287</v>
      </c>
      <c r="F101" s="56" t="s">
        <v>276</v>
      </c>
      <c r="G101" s="56" t="s">
        <v>289</v>
      </c>
    </row>
    <row r="102" spans="1:7" ht="15.75" customHeight="1">
      <c r="A102" s="9" t="n">
        <v>89</v>
      </c>
      <c r="B102" s="9" t="n">
        <v>56</v>
      </c>
      <c r="C102" s="9" t="n">
        <v>1208</v>
      </c>
      <c r="D102" s="9" t="n">
        <v>1208</v>
      </c>
      <c r="E102" s="56" t="s">
        <v>272</v>
      </c>
      <c r="F102" s="56" t="s">
        <v>273</v>
      </c>
      <c r="G102" s="56" t="s">
        <v>274</v>
      </c>
    </row>
    <row r="103" spans="1:7" ht="15.75" customHeight="1">
      <c r="A103" s="9" t="n">
        <v>90</v>
      </c>
      <c r="B103" s="9" t="n">
        <v>57</v>
      </c>
      <c r="C103" s="9" t="n">
        <v>1201</v>
      </c>
      <c r="D103" s="9" t="n">
        <v>1201</v>
      </c>
      <c r="E103" s="56" t="s">
        <v>277</v>
      </c>
      <c r="F103" s="56" t="s">
        <v>273</v>
      </c>
      <c r="G103" s="56" t="s">
        <v>273</v>
      </c>
    </row>
    <row r="104" spans="1:7" ht="15.75" customHeight="1">
      <c r="A104" s="9" t="n">
        <v>91</v>
      </c>
      <c r="B104" s="9" t="n">
        <v>58</v>
      </c>
      <c r="C104" s="9" t="n">
        <v>1165</v>
      </c>
      <c r="D104" s="9" t="n">
        <v>1165</v>
      </c>
      <c r="E104" s="56" t="s">
        <v>287</v>
      </c>
      <c r="F104" s="56" t="s">
        <v>276</v>
      </c>
      <c r="G104" s="56" t="s">
        <v>289</v>
      </c>
    </row>
    <row r="105" spans="1:7" ht="15.75" customHeight="1">
      <c r="A105" s="9" t="n">
        <v>92</v>
      </c>
      <c r="B105" s="9" t="n">
        <v>59</v>
      </c>
      <c r="C105" s="9" t="n">
        <v>1131</v>
      </c>
      <c r="D105" s="9" t="n">
        <v>1131</v>
      </c>
      <c r="E105" s="56" t="s">
        <v>277</v>
      </c>
      <c r="F105" s="56" t="s">
        <v>273</v>
      </c>
      <c r="G105" s="56" t="s">
        <v>273</v>
      </c>
    </row>
    <row r="106" spans="1:7" ht="15.75" customHeight="1">
      <c r="A106" s="9" t="n">
        <v>93</v>
      </c>
      <c r="B106" s="9" t="n">
        <v>60</v>
      </c>
      <c r="C106" s="9" t="n">
        <v>1117</v>
      </c>
      <c r="D106" s="9" t="n">
        <v>1117</v>
      </c>
      <c r="E106" s="56" t="s">
        <v>287</v>
      </c>
      <c r="F106" s="56" t="s">
        <v>288</v>
      </c>
      <c r="G106" s="56" t="s">
        <v>289</v>
      </c>
    </row>
    <row r="107" spans="1:7" ht="15.75" customHeight="1">
      <c r="A107" s="9" t="n">
        <v>94</v>
      </c>
      <c r="B107" s="9" t="n">
        <v>61</v>
      </c>
      <c r="C107" s="9" t="n">
        <v>1114</v>
      </c>
      <c r="D107" s="9" t="n">
        <v>1114</v>
      </c>
      <c r="E107" s="56" t="s">
        <v>287</v>
      </c>
      <c r="F107" s="56" t="s">
        <v>288</v>
      </c>
      <c r="G107" s="56" t="s">
        <v>289</v>
      </c>
    </row>
    <row r="108" spans="1:7" ht="15.75" customHeight="1">
      <c r="A108" s="9" t="n">
        <v>95</v>
      </c>
      <c r="B108" s="9" t="n">
        <v>62</v>
      </c>
      <c r="C108" s="9" t="n">
        <v>1109</v>
      </c>
      <c r="D108" s="9" t="n">
        <v>1109</v>
      </c>
      <c r="E108" s="56" t="s">
        <v>277</v>
      </c>
      <c r="F108" s="56" t="s">
        <v>273</v>
      </c>
      <c r="G108" s="56" t="s">
        <v>273</v>
      </c>
    </row>
    <row r="109" spans="1:7" ht="15.75" customHeight="1">
      <c r="A109" s="9" t="n">
        <v>96</v>
      </c>
      <c r="B109" s="9" t="n">
        <v>63</v>
      </c>
      <c r="C109" s="9" t="n">
        <v>1098</v>
      </c>
      <c r="D109" s="9" t="n">
        <v>1098</v>
      </c>
      <c r="E109" s="56" t="s">
        <v>277</v>
      </c>
      <c r="F109" s="56" t="s">
        <v>273</v>
      </c>
      <c r="G109" s="56" t="s">
        <v>273</v>
      </c>
    </row>
    <row r="110" spans="1:7" ht="15.75" customHeight="1">
      <c r="A110" s="9" t="n">
        <v>97</v>
      </c>
      <c r="B110" s="9" t="n">
        <v>64</v>
      </c>
      <c r="C110" s="9" t="n">
        <v>1059</v>
      </c>
      <c r="D110" s="9" t="n">
        <v>1059</v>
      </c>
      <c r="E110" s="56" t="s">
        <v>287</v>
      </c>
      <c r="F110" s="56" t="s">
        <v>288</v>
      </c>
      <c r="G110" s="56" t="s">
        <v>289</v>
      </c>
    </row>
    <row r="111" spans="1:7" ht="15.75" customHeight="1">
      <c r="A111" s="9" t="n">
        <v>98</v>
      </c>
      <c r="B111" s="9" t="n">
        <v>65</v>
      </c>
      <c r="C111" s="9" t="n">
        <v>1024</v>
      </c>
      <c r="D111" s="9" t="n">
        <v>1024</v>
      </c>
      <c r="E111" s="56" t="s">
        <v>290</v>
      </c>
      <c r="F111" s="56" t="s">
        <v>282</v>
      </c>
      <c r="G111" s="56" t="s">
        <v>283</v>
      </c>
    </row>
    <row r="112" spans="1:7" ht="15.75" customHeight="1">
      <c r="A112" s="9" t="n">
        <v>99</v>
      </c>
      <c r="B112" s="9" t="n">
        <v>66</v>
      </c>
      <c r="C112" s="9" t="n">
        <v>1005</v>
      </c>
      <c r="D112" s="9" t="n">
        <v>1005</v>
      </c>
      <c r="E112" s="56" t="s">
        <v>277</v>
      </c>
      <c r="F112" s="56" t="s">
        <v>273</v>
      </c>
      <c r="G112" s="56" t="s">
        <v>273</v>
      </c>
    </row>
    <row r="113" spans="1:7" ht="15.75" customHeight="1">
      <c r="A113" s="9" t="n">
        <v>100</v>
      </c>
      <c r="B113" s="9" t="n">
        <v>67</v>
      </c>
      <c r="C113" s="9" t="n">
        <v>953</v>
      </c>
      <c r="D113" s="9" t="n">
        <v>953</v>
      </c>
      <c r="E113" s="56" t="s">
        <v>287</v>
      </c>
      <c r="F113" s="56" t="s">
        <v>288</v>
      </c>
      <c r="G113" s="56" t="s">
        <v>289</v>
      </c>
    </row>
    <row r="114" spans="1:7" ht="15.75" customHeight="1">
      <c r="A114" s="9" t="n">
        <v>101</v>
      </c>
      <c r="B114" s="9" t="n">
        <v>68</v>
      </c>
      <c r="C114" s="9" t="n">
        <v>946</v>
      </c>
      <c r="D114" s="9" t="n">
        <v>946</v>
      </c>
      <c r="E114" s="56" t="s">
        <v>287</v>
      </c>
      <c r="F114" s="56" t="s">
        <v>276</v>
      </c>
      <c r="G114" s="56" t="s">
        <v>289</v>
      </c>
    </row>
    <row r="115" spans="1:7" ht="15.75" customHeight="1">
      <c r="A115" s="9" t="n">
        <v>103</v>
      </c>
      <c r="B115" s="9" t="n">
        <v>69</v>
      </c>
      <c r="C115" s="9" t="n">
        <v>908</v>
      </c>
      <c r="D115" s="9" t="n">
        <v>908</v>
      </c>
      <c r="E115" s="56" t="s">
        <v>277</v>
      </c>
      <c r="F115" s="56" t="s">
        <v>273</v>
      </c>
      <c r="G115" s="56" t="s">
        <v>273</v>
      </c>
    </row>
    <row r="116" spans="1:7" ht="15.75" customHeight="1">
      <c r="A116" s="9" t="n">
        <v>105</v>
      </c>
      <c r="B116" s="9" t="n">
        <v>70</v>
      </c>
      <c r="C116" s="9" t="n">
        <v>826</v>
      </c>
      <c r="D116" s="9" t="n">
        <v>826</v>
      </c>
      <c r="E116" s="56" t="s">
        <v>277</v>
      </c>
      <c r="F116" s="56" t="s">
        <v>273</v>
      </c>
      <c r="G116" s="56" t="s">
        <v>273</v>
      </c>
    </row>
    <row r="117" spans="1:7" ht="15.75" customHeight="1">
      <c r="A117" s="9" t="n">
        <v>107</v>
      </c>
      <c r="B117" s="9" t="n">
        <v>71</v>
      </c>
      <c r="C117" s="9" t="n">
        <v>778</v>
      </c>
      <c r="D117" s="9" t="n">
        <v>778</v>
      </c>
      <c r="E117" s="56" t="s">
        <v>277</v>
      </c>
      <c r="F117" s="56" t="s">
        <v>273</v>
      </c>
      <c r="G117" s="56" t="s">
        <v>273</v>
      </c>
    </row>
    <row r="118" spans="1:7" ht="15.75" customHeight="1">
      <c r="A118" s="9" t="n">
        <v>108</v>
      </c>
      <c r="B118" s="9" t="n">
        <v>72</v>
      </c>
      <c r="C118" s="9" t="n">
        <v>735</v>
      </c>
      <c r="D118" s="9" t="n">
        <v>735</v>
      </c>
      <c r="E118" s="56" t="s">
        <v>287</v>
      </c>
      <c r="F118" s="56" t="s">
        <v>276</v>
      </c>
      <c r="G118" s="56" t="s">
        <v>289</v>
      </c>
    </row>
    <row r="119" spans="1:7" ht="15.75" customHeight="1">
      <c r="A119" s="9" t="n">
        <v>109</v>
      </c>
      <c r="B119" s="9" t="n">
        <v>73</v>
      </c>
      <c r="C119" s="9" t="n">
        <v>713</v>
      </c>
      <c r="D119" s="9" t="n">
        <v>713</v>
      </c>
      <c r="E119" s="56" t="s">
        <v>287</v>
      </c>
      <c r="F119" s="56" t="s">
        <v>276</v>
      </c>
      <c r="G119" s="56" t="s">
        <v>289</v>
      </c>
    </row>
    <row r="120" spans="1:7" ht="15.75" customHeight="1">
      <c r="A120" s="9" t="n">
        <v>110</v>
      </c>
      <c r="B120" s="9" t="n">
        <v>74</v>
      </c>
      <c r="C120" s="9" t="n">
        <v>669</v>
      </c>
      <c r="D120" s="9" t="n">
        <v>669</v>
      </c>
      <c r="E120" s="56" t="s">
        <v>272</v>
      </c>
      <c r="F120" s="56" t="s">
        <v>273</v>
      </c>
      <c r="G120" s="56" t="s">
        <v>274</v>
      </c>
    </row>
    <row r="121" spans="1:7" ht="15.75" customHeight="1">
      <c r="A121" s="9" t="n">
        <v>111</v>
      </c>
      <c r="B121" s="9" t="n">
        <v>75</v>
      </c>
      <c r="C121" s="9" t="n">
        <v>664</v>
      </c>
      <c r="D121" s="9" t="n">
        <v>664</v>
      </c>
      <c r="E121" s="56" t="s">
        <v>287</v>
      </c>
      <c r="F121" s="56" t="s">
        <v>288</v>
      </c>
      <c r="G121" s="56" t="s">
        <v>289</v>
      </c>
    </row>
    <row r="122" spans="1:7" ht="15.75" customHeight="1">
      <c r="A122" s="9" t="n">
        <v>112</v>
      </c>
      <c r="B122" s="9" t="n">
        <v>76</v>
      </c>
      <c r="C122" s="9" t="n">
        <v>650</v>
      </c>
      <c r="D122" s="9" t="n">
        <v>650</v>
      </c>
      <c r="E122" s="56" t="s">
        <v>277</v>
      </c>
      <c r="F122" s="56" t="s">
        <v>273</v>
      </c>
      <c r="G122" s="56" t="s">
        <v>273</v>
      </c>
    </row>
    <row r="123" spans="1:7" ht="15.75" customHeight="1">
      <c r="A123" s="9" t="n">
        <v>113</v>
      </c>
      <c r="B123" s="9" t="n">
        <v>77</v>
      </c>
      <c r="C123" s="9" t="n">
        <v>634</v>
      </c>
      <c r="D123" s="9" t="n">
        <v>634</v>
      </c>
      <c r="E123" s="56" t="s">
        <v>277</v>
      </c>
      <c r="F123" s="56" t="s">
        <v>273</v>
      </c>
      <c r="G123" s="56" t="s">
        <v>273</v>
      </c>
    </row>
    <row r="124" spans="1:7" ht="15.75" customHeight="1">
      <c r="A124" s="9" t="n">
        <v>114</v>
      </c>
      <c r="B124" s="9" t="n">
        <v>78</v>
      </c>
      <c r="C124" s="9" t="n">
        <v>621</v>
      </c>
      <c r="D124" s="9" t="n">
        <v>621</v>
      </c>
      <c r="E124" s="56" t="s">
        <v>277</v>
      </c>
      <c r="F124" s="56" t="s">
        <v>273</v>
      </c>
      <c r="G124" s="56" t="s">
        <v>273</v>
      </c>
    </row>
    <row r="125" spans="1:7" ht="15.75" customHeight="1">
      <c r="A125" s="9" t="n">
        <v>115</v>
      </c>
      <c r="B125" s="9" t="n">
        <v>79</v>
      </c>
      <c r="C125" s="9" t="n">
        <v>601</v>
      </c>
      <c r="D125" s="9" t="n">
        <v>601</v>
      </c>
      <c r="E125" s="56" t="s">
        <v>287</v>
      </c>
      <c r="F125" s="56" t="s">
        <v>288</v>
      </c>
      <c r="G125" s="56" t="s">
        <v>289</v>
      </c>
    </row>
    <row r="126" spans="1:7" ht="15.75" customHeight="1">
      <c r="A126" s="9" t="n">
        <v>116</v>
      </c>
      <c r="B126" s="9" t="n">
        <v>80</v>
      </c>
      <c r="C126" s="9" t="n">
        <v>595</v>
      </c>
      <c r="D126" s="9" t="n">
        <v>595</v>
      </c>
      <c r="E126" s="56" t="s">
        <v>272</v>
      </c>
      <c r="F126" s="56" t="s">
        <v>273</v>
      </c>
      <c r="G126" s="56" t="s">
        <v>274</v>
      </c>
    </row>
    <row r="127" spans="1:7" ht="15.75" customHeight="1">
      <c r="A127" s="9" t="n">
        <v>117</v>
      </c>
      <c r="B127" s="9" t="n">
        <v>81</v>
      </c>
      <c r="C127" s="9" t="n">
        <v>588</v>
      </c>
      <c r="D127" s="9" t="n">
        <v>588</v>
      </c>
      <c r="E127" s="56" t="s">
        <v>277</v>
      </c>
      <c r="F127" s="56" t="s">
        <v>273</v>
      </c>
      <c r="G127" s="56" t="s">
        <v>273</v>
      </c>
    </row>
    <row r="128" spans="1:7" ht="15.75" customHeight="1">
      <c r="A128" s="9" t="n">
        <v>118</v>
      </c>
      <c r="B128" s="9" t="n">
        <v>82</v>
      </c>
      <c r="C128" s="9" t="n">
        <v>575</v>
      </c>
      <c r="D128" s="9" t="n">
        <v>575</v>
      </c>
      <c r="E128" s="56" t="s">
        <v>287</v>
      </c>
      <c r="F128" s="56" t="s">
        <v>276</v>
      </c>
      <c r="G128" s="56" t="s">
        <v>289</v>
      </c>
    </row>
    <row r="129" spans="1:7" ht="15.75" customHeight="1">
      <c r="A129" s="9" t="n">
        <v>119</v>
      </c>
      <c r="B129" s="9" t="n">
        <v>83</v>
      </c>
      <c r="C129" s="9" t="n">
        <v>571</v>
      </c>
      <c r="D129" s="9" t="n">
        <v>571</v>
      </c>
      <c r="E129" s="56" t="s">
        <v>277</v>
      </c>
      <c r="F129" s="56" t="s">
        <v>273</v>
      </c>
      <c r="G129" s="56" t="s">
        <v>273</v>
      </c>
    </row>
    <row r="130" spans="1:7" ht="15.75" customHeight="1">
      <c r="A130" s="9" t="n">
        <v>120</v>
      </c>
      <c r="B130" s="9" t="n">
        <v>84</v>
      </c>
      <c r="C130" s="9" t="n">
        <v>563</v>
      </c>
      <c r="D130" s="9" t="n">
        <v>563</v>
      </c>
      <c r="E130" s="56" t="s">
        <v>277</v>
      </c>
      <c r="F130" s="56" t="s">
        <v>273</v>
      </c>
      <c r="G130" s="56" t="s">
        <v>273</v>
      </c>
    </row>
    <row r="131" spans="1:7" ht="15.75" customHeight="1">
      <c r="A131" s="9" t="n">
        <v>121</v>
      </c>
      <c r="B131" s="9" t="n">
        <v>85</v>
      </c>
      <c r="C131" s="9" t="n">
        <v>561</v>
      </c>
      <c r="D131" s="9" t="n">
        <v>561</v>
      </c>
      <c r="E131" s="56" t="s">
        <v>277</v>
      </c>
      <c r="F131" s="56" t="s">
        <v>273</v>
      </c>
      <c r="G131" s="56" t="s">
        <v>273</v>
      </c>
    </row>
    <row r="132" spans="1:7" ht="15.75" customHeight="1">
      <c r="A132" s="9" t="n">
        <v>122</v>
      </c>
      <c r="B132" s="9" t="n">
        <v>86</v>
      </c>
      <c r="C132" s="9" t="n">
        <v>554</v>
      </c>
      <c r="D132" s="9" t="n">
        <v>554</v>
      </c>
      <c r="E132" s="56" t="s">
        <v>277</v>
      </c>
      <c r="F132" s="56" t="s">
        <v>273</v>
      </c>
      <c r="G132" s="56" t="s">
        <v>273</v>
      </c>
    </row>
    <row r="133" spans="1:7" ht="15.75" customHeight="1">
      <c r="A133" s="9" t="n">
        <v>123</v>
      </c>
      <c r="B133" s="9" t="n">
        <v>87</v>
      </c>
      <c r="C133" s="9" t="n">
        <v>548</v>
      </c>
      <c r="D133" s="9" t="n">
        <v>548</v>
      </c>
      <c r="E133" s="56" t="s">
        <v>287</v>
      </c>
      <c r="F133" s="56" t="s">
        <v>288</v>
      </c>
      <c r="G133" s="56" t="s">
        <v>289</v>
      </c>
    </row>
    <row r="134" spans="1:7" ht="15.75" customHeight="1">
      <c r="A134" s="9" t="n">
        <v>124</v>
      </c>
      <c r="B134" s="9" t="n">
        <v>88</v>
      </c>
      <c r="C134" s="9" t="n">
        <v>542</v>
      </c>
      <c r="D134" s="9" t="n">
        <v>542</v>
      </c>
      <c r="E134" s="56" t="s">
        <v>287</v>
      </c>
      <c r="F134" s="56" t="s">
        <v>288</v>
      </c>
      <c r="G134" s="56" t="s">
        <v>289</v>
      </c>
    </row>
    <row r="135" spans="1:7" ht="15.75" customHeight="1">
      <c r="A135" s="9" t="n">
        <v>125</v>
      </c>
      <c r="B135" s="9" t="n">
        <v>89</v>
      </c>
      <c r="C135" s="9" t="n">
        <v>538</v>
      </c>
      <c r="D135" s="9" t="n">
        <v>538</v>
      </c>
      <c r="E135" s="56" t="s">
        <v>272</v>
      </c>
      <c r="F135" s="56" t="s">
        <v>273</v>
      </c>
      <c r="G135" s="56" t="s">
        <v>274</v>
      </c>
    </row>
    <row r="136" spans="1:7" ht="15.75" customHeight="1">
      <c r="A136" s="9" t="n">
        <v>126</v>
      </c>
      <c r="B136" s="9" t="n">
        <v>90</v>
      </c>
      <c r="C136" s="9" t="n">
        <v>537</v>
      </c>
      <c r="D136" s="9" t="n">
        <v>537</v>
      </c>
      <c r="E136" s="56" t="s">
        <v>287</v>
      </c>
      <c r="F136" s="56" t="s">
        <v>276</v>
      </c>
      <c r="G136" s="56" t="s">
        <v>289</v>
      </c>
    </row>
    <row r="137" spans="1:7" ht="15.75" customHeight="1">
      <c r="A137" s="9" t="n">
        <v>127</v>
      </c>
      <c r="B137" s="9" t="n">
        <v>91</v>
      </c>
      <c r="C137" s="9" t="n">
        <v>533</v>
      </c>
      <c r="D137" s="9" t="n">
        <v>533</v>
      </c>
      <c r="E137" s="56" t="s">
        <v>277</v>
      </c>
      <c r="F137" s="56" t="s">
        <v>273</v>
      </c>
      <c r="G137" s="56" t="s">
        <v>273</v>
      </c>
    </row>
    <row r="138" spans="1:7" ht="15.75" customHeight="1">
      <c r="A138" s="9" t="n">
        <v>128</v>
      </c>
      <c r="B138" s="9" t="n">
        <v>92</v>
      </c>
      <c r="C138" s="9" t="n">
        <v>529</v>
      </c>
      <c r="D138" s="9" t="n">
        <v>529</v>
      </c>
      <c r="E138" s="56" t="s">
        <v>287</v>
      </c>
      <c r="F138" s="56" t="s">
        <v>288</v>
      </c>
      <c r="G138" s="56" t="s">
        <v>289</v>
      </c>
    </row>
    <row r="139" spans="1:7" ht="15.75" customHeight="1">
      <c r="A139" s="9" t="n">
        <v>129</v>
      </c>
      <c r="B139" s="9" t="n">
        <v>93</v>
      </c>
      <c r="C139" s="9" t="n">
        <v>528</v>
      </c>
      <c r="D139" s="9" t="n">
        <v>528</v>
      </c>
      <c r="E139" s="56" t="s">
        <v>277</v>
      </c>
      <c r="F139" s="56" t="s">
        <v>273</v>
      </c>
      <c r="G139" s="56" t="s">
        <v>273</v>
      </c>
    </row>
    <row r="140" spans="1:7" ht="15.75" customHeight="1">
      <c r="A140" s="9" t="n">
        <v>130</v>
      </c>
      <c r="B140" s="9" t="n">
        <v>94</v>
      </c>
      <c r="C140" s="9" t="n">
        <v>527</v>
      </c>
      <c r="D140" s="9" t="n">
        <v>527</v>
      </c>
      <c r="E140" s="56" t="s">
        <v>277</v>
      </c>
      <c r="F140" s="56" t="s">
        <v>273</v>
      </c>
      <c r="G140" s="56" t="s">
        <v>273</v>
      </c>
    </row>
    <row r="141" spans="1:7" ht="15.75" customHeight="1">
      <c r="A141" s="9" t="n">
        <v>131</v>
      </c>
      <c r="B141" s="9" t="n">
        <v>95</v>
      </c>
      <c r="C141" s="9" t="n">
        <v>520</v>
      </c>
      <c r="D141" s="9" t="n">
        <v>520</v>
      </c>
      <c r="E141" s="56" t="s">
        <v>287</v>
      </c>
      <c r="F141" s="56" t="s">
        <v>288</v>
      </c>
      <c r="G141" s="56" t="s">
        <v>289</v>
      </c>
    </row>
    <row r="142" spans="1:7" ht="15.75" customHeight="1">
      <c r="A142" s="9" t="n">
        <v>132</v>
      </c>
      <c r="B142" s="9" t="n">
        <v>96</v>
      </c>
      <c r="C142" s="9" t="n">
        <v>514</v>
      </c>
      <c r="D142" s="9" t="n">
        <v>514</v>
      </c>
      <c r="E142" s="56" t="s">
        <v>277</v>
      </c>
      <c r="F142" s="56" t="s">
        <v>273</v>
      </c>
      <c r="G142" s="56" t="s">
        <v>273</v>
      </c>
    </row>
    <row r="143" spans="1:7" ht="15.75" customHeight="1">
      <c r="A143" s="9" t="n">
        <v>133</v>
      </c>
      <c r="B143" s="9" t="n">
        <v>97</v>
      </c>
      <c r="C143" s="9" t="n">
        <v>507</v>
      </c>
      <c r="D143" s="9" t="n">
        <v>507</v>
      </c>
      <c r="E143" s="56" t="s">
        <v>287</v>
      </c>
      <c r="F143" s="56" t="s">
        <v>276</v>
      </c>
      <c r="G143" s="56" t="s">
        <v>289</v>
      </c>
    </row>
    <row r="144" spans="1:7" ht="15.75" customHeight="1">
      <c r="A144" s="9" t="n">
        <v>134</v>
      </c>
      <c r="B144" s="9" t="n">
        <v>98</v>
      </c>
      <c r="C144" s="9" t="n">
        <v>506</v>
      </c>
      <c r="D144" s="9" t="n">
        <v>506</v>
      </c>
      <c r="E144" s="56" t="s">
        <v>287</v>
      </c>
      <c r="F144" s="56" t="s">
        <v>276</v>
      </c>
      <c r="G144" s="56" t="s">
        <v>289</v>
      </c>
    </row>
    <row r="145" spans="1:7" ht="15.75" customHeight="1">
      <c r="A145" s="9" t="n">
        <v>135</v>
      </c>
      <c r="B145" s="9" t="n">
        <v>99</v>
      </c>
      <c r="C145" s="9" t="n">
        <v>504</v>
      </c>
      <c r="D145" s="9" t="n">
        <v>504</v>
      </c>
      <c r="E145" s="56" t="s">
        <v>277</v>
      </c>
      <c r="F145" s="56" t="s">
        <v>273</v>
      </c>
      <c r="G145" s="56" t="s">
        <v>273</v>
      </c>
    </row>
    <row r="146" spans="1:7" ht="15.75" customHeight="1">
      <c r="A146" s="9" t="n">
        <v>136</v>
      </c>
      <c r="B146" s="9" t="n">
        <v>100</v>
      </c>
      <c r="C146" s="9" t="n">
        <v>504</v>
      </c>
      <c r="D146" s="9" t="n">
        <v>504</v>
      </c>
      <c r="E146" s="56" t="s">
        <v>287</v>
      </c>
      <c r="F146" s="56" t="s">
        <v>288</v>
      </c>
      <c r="G146" s="56" t="s">
        <v>289</v>
      </c>
    </row>
    <row r="147" spans="1:7" ht="15.75" customHeight="1">
      <c r="A147" s="9" t="n">
        <v>137</v>
      </c>
      <c r="B147" s="9" t="n">
        <v>101</v>
      </c>
      <c r="C147" s="9" t="n">
        <v>500</v>
      </c>
      <c r="D147" s="9" t="n">
        <v>500</v>
      </c>
      <c r="E147" s="56" t="s">
        <v>287</v>
      </c>
      <c r="F147" s="56" t="s">
        <v>288</v>
      </c>
      <c r="G147" s="56" t="s">
        <v>289</v>
      </c>
    </row>
    <row r="148" spans="1:7" ht="15.75" customHeight="1">
      <c r="A148" s="9" t="n">
        <v>138</v>
      </c>
      <c r="B148" s="9" t="n">
        <v>102</v>
      </c>
      <c r="C148" s="9" t="n">
        <v>476</v>
      </c>
      <c r="D148" s="9" t="n">
        <v>476</v>
      </c>
      <c r="E148" s="56" t="s">
        <v>277</v>
      </c>
      <c r="F148" s="56" t="s">
        <v>273</v>
      </c>
      <c r="G148" s="56" t="s">
        <v>273</v>
      </c>
    </row>
    <row r="149" spans="1:7" ht="15.75" customHeight="1">
      <c r="A149" s="9" t="n">
        <v>139</v>
      </c>
      <c r="B149" s="9" t="n">
        <v>103</v>
      </c>
      <c r="C149" s="9" t="n">
        <v>470</v>
      </c>
      <c r="D149" s="9" t="n">
        <v>470</v>
      </c>
      <c r="E149" s="56" t="s">
        <v>272</v>
      </c>
      <c r="F149" s="56" t="s">
        <v>273</v>
      </c>
      <c r="G149" s="56" t="s">
        <v>274</v>
      </c>
    </row>
    <row r="150" spans="1:7" ht="15.75" customHeight="1">
      <c r="A150" s="9" t="n">
        <v>140</v>
      </c>
      <c r="B150" s="9" t="n">
        <v>104</v>
      </c>
      <c r="C150" s="9" t="n">
        <v>467</v>
      </c>
      <c r="D150" s="9" t="n">
        <v>467</v>
      </c>
      <c r="E150" s="56" t="s">
        <v>277</v>
      </c>
      <c r="F150" s="56" t="s">
        <v>273</v>
      </c>
      <c r="G150" s="56" t="s">
        <v>273</v>
      </c>
    </row>
    <row r="151" spans="1:7" ht="15.75" customHeight="1">
      <c r="A151" s="9" t="n">
        <v>141</v>
      </c>
      <c r="B151" s="9" t="n">
        <v>105</v>
      </c>
      <c r="C151" s="9" t="n">
        <v>462</v>
      </c>
      <c r="D151" s="9" t="n">
        <v>462</v>
      </c>
      <c r="E151" s="56" t="s">
        <v>287</v>
      </c>
      <c r="F151" s="56" t="s">
        <v>276</v>
      </c>
      <c r="G151" s="56" t="s">
        <v>289</v>
      </c>
    </row>
    <row r="152" spans="1:7" ht="15.75" customHeight="1">
      <c r="A152" s="9" t="n">
        <v>142</v>
      </c>
      <c r="B152" s="9" t="n">
        <v>106</v>
      </c>
      <c r="C152" s="9" t="n">
        <v>455</v>
      </c>
      <c r="D152" s="9" t="n">
        <v>455</v>
      </c>
      <c r="E152" s="56" t="s">
        <v>287</v>
      </c>
      <c r="F152" s="56" t="s">
        <v>288</v>
      </c>
      <c r="G152" s="56" t="s">
        <v>289</v>
      </c>
    </row>
    <row r="153" spans="1:7" ht="15.75" customHeight="1">
      <c r="A153" s="9" t="n">
        <v>143</v>
      </c>
      <c r="B153" s="9" t="n">
        <v>107</v>
      </c>
      <c r="C153" s="9" t="n">
        <v>452</v>
      </c>
      <c r="D153" s="9" t="n">
        <v>452</v>
      </c>
      <c r="E153" s="56" t="s">
        <v>287</v>
      </c>
      <c r="F153" s="56" t="s">
        <v>288</v>
      </c>
      <c r="G153" s="56" t="s">
        <v>289</v>
      </c>
    </row>
    <row r="154" spans="1:7" ht="15.75" customHeight="1">
      <c r="A154" s="9" t="n">
        <v>144</v>
      </c>
      <c r="B154" s="9" t="n">
        <v>108</v>
      </c>
      <c r="C154" s="9" t="n">
        <v>451</v>
      </c>
      <c r="D154" s="9" t="n">
        <v>451</v>
      </c>
      <c r="E154" s="56" t="s">
        <v>287</v>
      </c>
      <c r="F154" s="56" t="s">
        <v>288</v>
      </c>
      <c r="G154" s="56" t="s">
        <v>289</v>
      </c>
    </row>
    <row r="155" spans="1:7" ht="15.75" customHeight="1">
      <c r="A155" s="9" t="n">
        <v>145</v>
      </c>
      <c r="B155" s="9" t="n">
        <v>109</v>
      </c>
      <c r="C155" s="9" t="n">
        <v>444</v>
      </c>
      <c r="D155" s="9" t="n">
        <v>444</v>
      </c>
      <c r="E155" s="56" t="s">
        <v>287</v>
      </c>
      <c r="F155" s="56" t="s">
        <v>288</v>
      </c>
      <c r="G155" s="56" t="s">
        <v>289</v>
      </c>
    </row>
    <row r="156" spans="1:7" ht="15.75" customHeight="1">
      <c r="A156" s="9" t="n">
        <v>146</v>
      </c>
      <c r="B156" s="9" t="n">
        <v>110</v>
      </c>
      <c r="C156" s="9" t="n">
        <v>432</v>
      </c>
      <c r="D156" s="9" t="n">
        <v>432</v>
      </c>
      <c r="E156" s="56" t="s">
        <v>277</v>
      </c>
      <c r="F156" s="56" t="s">
        <v>273</v>
      </c>
      <c r="G156" s="56" t="s">
        <v>273</v>
      </c>
    </row>
    <row r="157" spans="1:7" ht="15.75" customHeight="1">
      <c r="A157" s="9" t="n">
        <v>147</v>
      </c>
      <c r="B157" s="9" t="n">
        <v>111</v>
      </c>
      <c r="C157" s="9" t="n">
        <v>422</v>
      </c>
      <c r="D157" s="9" t="n">
        <v>422</v>
      </c>
      <c r="E157" s="56" t="s">
        <v>277</v>
      </c>
      <c r="F157" s="56" t="s">
        <v>273</v>
      </c>
      <c r="G157" s="56" t="s">
        <v>273</v>
      </c>
    </row>
    <row r="158" spans="1:7" ht="15.75" customHeight="1">
      <c r="A158" s="9" t="n">
        <v>148</v>
      </c>
      <c r="B158" s="9" t="n">
        <v>112</v>
      </c>
      <c r="C158" s="9" t="n">
        <v>420</v>
      </c>
      <c r="D158" s="9" t="n">
        <v>420</v>
      </c>
      <c r="E158" s="56" t="s">
        <v>287</v>
      </c>
      <c r="F158" s="56" t="s">
        <v>288</v>
      </c>
      <c r="G158" s="56" t="s">
        <v>289</v>
      </c>
    </row>
    <row r="159" spans="1:7" ht="15.75" customHeight="1">
      <c r="A159" s="9" t="n">
        <v>149</v>
      </c>
      <c r="B159" s="9" t="n">
        <v>113</v>
      </c>
      <c r="C159" s="9" t="n">
        <v>411</v>
      </c>
      <c r="D159" s="9" t="n">
        <v>411</v>
      </c>
      <c r="E159" s="56" t="s">
        <v>287</v>
      </c>
      <c r="F159" s="56" t="s">
        <v>288</v>
      </c>
      <c r="G159" s="56" t="s">
        <v>289</v>
      </c>
    </row>
    <row r="160" spans="1:7" ht="15.75" customHeight="1">
      <c r="A160" s="9" t="n">
        <v>150</v>
      </c>
      <c r="B160" s="9" t="n">
        <v>114</v>
      </c>
      <c r="C160" s="9" t="n">
        <v>398</v>
      </c>
      <c r="D160" s="9" t="n">
        <v>398</v>
      </c>
      <c r="E160" s="56" t="s">
        <v>287</v>
      </c>
      <c r="F160" s="56" t="s">
        <v>288</v>
      </c>
      <c r="G160" s="56" t="s">
        <v>289</v>
      </c>
    </row>
    <row r="161" spans="1:7" ht="15.75" customHeight="1">
      <c r="A161" s="9" t="n">
        <v>151</v>
      </c>
      <c r="B161" s="9" t="n">
        <v>115</v>
      </c>
      <c r="C161" s="9" t="n">
        <v>396</v>
      </c>
      <c r="D161" s="9" t="n">
        <v>396</v>
      </c>
      <c r="E161" s="56" t="s">
        <v>277</v>
      </c>
      <c r="F161" s="56" t="s">
        <v>273</v>
      </c>
      <c r="G161" s="56" t="s">
        <v>273</v>
      </c>
    </row>
    <row r="162" spans="1:7" ht="15.75" customHeight="1">
      <c r="A162" s="9" t="n">
        <v>152</v>
      </c>
      <c r="B162" s="9" t="n">
        <v>116</v>
      </c>
      <c r="C162" s="9" t="n">
        <v>395</v>
      </c>
      <c r="D162" s="9" t="n">
        <v>395</v>
      </c>
      <c r="E162" s="56" t="s">
        <v>287</v>
      </c>
      <c r="F162" s="56" t="s">
        <v>288</v>
      </c>
      <c r="G162" s="56" t="s">
        <v>289</v>
      </c>
    </row>
    <row r="163" spans="1:7" ht="15.75" customHeight="1">
      <c r="A163" s="9" t="n">
        <v>153</v>
      </c>
      <c r="B163" s="9" t="n">
        <v>117</v>
      </c>
      <c r="C163" s="9" t="n">
        <v>395</v>
      </c>
      <c r="D163" s="9" t="n">
        <v>395</v>
      </c>
      <c r="E163" s="56" t="s">
        <v>287</v>
      </c>
      <c r="F163" s="56" t="s">
        <v>288</v>
      </c>
      <c r="G163" s="56" t="s">
        <v>289</v>
      </c>
    </row>
    <row r="164" spans="1:7" ht="15.75" customHeight="1">
      <c r="A164" s="9" t="n">
        <v>154</v>
      </c>
      <c r="B164" s="9" t="n">
        <v>118</v>
      </c>
      <c r="C164" s="9" t="n">
        <v>389</v>
      </c>
      <c r="D164" s="9" t="n">
        <v>389</v>
      </c>
      <c r="E164" s="56" t="s">
        <v>287</v>
      </c>
      <c r="F164" s="56" t="s">
        <v>288</v>
      </c>
      <c r="G164" s="56" t="s">
        <v>289</v>
      </c>
    </row>
    <row r="165" spans="1:7" ht="15.75" customHeight="1">
      <c r="A165" s="9" t="n">
        <v>155</v>
      </c>
      <c r="B165" s="9" t="n">
        <v>119</v>
      </c>
      <c r="C165" s="9" t="n">
        <v>383</v>
      </c>
      <c r="D165" s="9" t="n">
        <v>383</v>
      </c>
      <c r="E165" s="56" t="s">
        <v>287</v>
      </c>
      <c r="F165" s="56" t="s">
        <v>288</v>
      </c>
      <c r="G165" s="56" t="s">
        <v>289</v>
      </c>
    </row>
    <row r="166" spans="1:7" ht="15.75" customHeight="1">
      <c r="A166" s="9" t="n">
        <v>156</v>
      </c>
      <c r="B166" s="9" t="n">
        <v>120</v>
      </c>
      <c r="C166" s="9" t="n">
        <v>382</v>
      </c>
      <c r="D166" s="9" t="n">
        <v>382</v>
      </c>
      <c r="E166" s="56" t="s">
        <v>277</v>
      </c>
      <c r="F166" s="56" t="s">
        <v>273</v>
      </c>
      <c r="G166" s="56" t="s">
        <v>273</v>
      </c>
    </row>
    <row r="167" spans="1:7" ht="15.75" customHeight="1">
      <c r="A167" s="9" t="n">
        <v>157</v>
      </c>
      <c r="B167" s="9" t="n">
        <v>121</v>
      </c>
      <c r="C167" s="9" t="n">
        <v>375</v>
      </c>
      <c r="D167" s="9" t="n">
        <v>375</v>
      </c>
      <c r="E167" s="56" t="s">
        <v>287</v>
      </c>
      <c r="F167" s="56" t="s">
        <v>288</v>
      </c>
      <c r="G167" s="56" t="s">
        <v>289</v>
      </c>
    </row>
    <row r="168" spans="1:7" ht="15.75" customHeight="1">
      <c r="A168" s="9" t="n">
        <v>158</v>
      </c>
      <c r="B168" s="9" t="n">
        <v>122</v>
      </c>
      <c r="C168" s="9" t="n">
        <v>374</v>
      </c>
      <c r="D168" s="9" t="n">
        <v>374</v>
      </c>
      <c r="E168" s="56" t="s">
        <v>287</v>
      </c>
      <c r="F168" s="56" t="s">
        <v>288</v>
      </c>
      <c r="G168" s="56" t="s">
        <v>289</v>
      </c>
    </row>
    <row r="169" spans="1:7" ht="15.75" customHeight="1">
      <c r="A169" s="9" t="n">
        <v>159</v>
      </c>
      <c r="B169" s="9" t="n">
        <v>123</v>
      </c>
      <c r="C169" s="9" t="n">
        <v>371</v>
      </c>
      <c r="D169" s="9" t="n">
        <v>371</v>
      </c>
      <c r="E169" s="56" t="s">
        <v>287</v>
      </c>
      <c r="F169" s="56" t="s">
        <v>288</v>
      </c>
      <c r="G169" s="56" t="s">
        <v>289</v>
      </c>
    </row>
    <row r="170" spans="1:7" ht="15.75" customHeight="1">
      <c r="A170" s="9" t="n">
        <v>160</v>
      </c>
      <c r="B170" s="9" t="n">
        <v>124</v>
      </c>
      <c r="C170" s="9" t="n">
        <v>371</v>
      </c>
      <c r="D170" s="9" t="n">
        <v>371</v>
      </c>
      <c r="E170" s="56" t="s">
        <v>277</v>
      </c>
      <c r="F170" s="56" t="s">
        <v>273</v>
      </c>
      <c r="G170" s="56" t="s">
        <v>273</v>
      </c>
    </row>
    <row r="171" spans="1:7" ht="15.75" customHeight="1">
      <c r="A171" s="9" t="n">
        <v>161</v>
      </c>
      <c r="B171" s="9" t="n">
        <v>125</v>
      </c>
      <c r="C171" s="9" t="n">
        <v>370</v>
      </c>
      <c r="D171" s="9" t="n">
        <v>370</v>
      </c>
      <c r="E171" s="56" t="s">
        <v>287</v>
      </c>
      <c r="F171" s="56" t="s">
        <v>288</v>
      </c>
      <c r="G171" s="56" t="s">
        <v>289</v>
      </c>
    </row>
    <row r="172" spans="1:7" ht="15.75" customHeight="1">
      <c r="A172" s="9" t="n">
        <v>162</v>
      </c>
      <c r="B172" s="9" t="n">
        <v>126</v>
      </c>
      <c r="C172" s="9" t="n">
        <v>369</v>
      </c>
      <c r="D172" s="9" t="n">
        <v>369</v>
      </c>
      <c r="E172" s="56" t="s">
        <v>277</v>
      </c>
      <c r="F172" s="56" t="s">
        <v>273</v>
      </c>
      <c r="G172" s="56" t="s">
        <v>273</v>
      </c>
    </row>
    <row r="173" spans="1:7" ht="15.75" customHeight="1">
      <c r="A173" s="9" t="n">
        <v>163</v>
      </c>
      <c r="B173" s="9" t="n">
        <v>127</v>
      </c>
      <c r="C173" s="9" t="n">
        <v>368</v>
      </c>
      <c r="D173" s="9" t="n">
        <v>368</v>
      </c>
      <c r="E173" s="56" t="s">
        <v>287</v>
      </c>
      <c r="F173" s="56" t="s">
        <v>288</v>
      </c>
      <c r="G173" s="56" t="s">
        <v>289</v>
      </c>
    </row>
    <row r="174" spans="1:7" ht="15.75" customHeight="1">
      <c r="A174" s="9" t="n">
        <v>164</v>
      </c>
      <c r="B174" s="9" t="n">
        <v>128</v>
      </c>
      <c r="C174" s="9" t="n">
        <v>366</v>
      </c>
      <c r="D174" s="9" t="n">
        <v>366</v>
      </c>
      <c r="E174" s="56" t="s">
        <v>287</v>
      </c>
      <c r="F174" s="56" t="s">
        <v>288</v>
      </c>
      <c r="G174" s="56" t="s">
        <v>289</v>
      </c>
    </row>
    <row r="175" spans="1:7" ht="15.75" customHeight="1">
      <c r="A175" s="9" t="n">
        <v>165</v>
      </c>
      <c r="B175" s="9" t="n">
        <v>129</v>
      </c>
      <c r="C175" s="9" t="n">
        <v>365</v>
      </c>
      <c r="D175" s="9" t="n">
        <v>365</v>
      </c>
      <c r="E175" s="56" t="s">
        <v>287</v>
      </c>
      <c r="F175" s="56" t="s">
        <v>288</v>
      </c>
      <c r="G175" s="56" t="s">
        <v>289</v>
      </c>
    </row>
    <row r="176" spans="1:7" ht="15.75" customHeight="1">
      <c r="A176" s="9" t="n">
        <v>166</v>
      </c>
      <c r="B176" s="9" t="n">
        <v>130</v>
      </c>
      <c r="C176" s="9" t="n">
        <v>364</v>
      </c>
      <c r="D176" s="9" t="n">
        <v>364</v>
      </c>
      <c r="E176" s="56" t="s">
        <v>287</v>
      </c>
      <c r="F176" s="56" t="s">
        <v>288</v>
      </c>
      <c r="G176" s="56" t="s">
        <v>289</v>
      </c>
    </row>
    <row r="177" spans="1:7" ht="15.75" customHeight="1">
      <c r="A177" s="9" t="n">
        <v>167</v>
      </c>
      <c r="B177" s="9" t="n">
        <v>131</v>
      </c>
      <c r="C177" s="9" t="n">
        <v>363</v>
      </c>
      <c r="D177" s="9" t="n">
        <v>363</v>
      </c>
      <c r="E177" s="56" t="s">
        <v>287</v>
      </c>
      <c r="F177" s="56" t="s">
        <v>288</v>
      </c>
      <c r="G177" s="56" t="s">
        <v>289</v>
      </c>
    </row>
    <row r="178" spans="1:7" ht="15.75" customHeight="1">
      <c r="A178" s="9" t="n">
        <v>168</v>
      </c>
      <c r="B178" s="9" t="n">
        <v>132</v>
      </c>
      <c r="C178" s="9" t="n">
        <v>361</v>
      </c>
      <c r="D178" s="9" t="n">
        <v>361</v>
      </c>
      <c r="E178" s="56" t="s">
        <v>287</v>
      </c>
      <c r="F178" s="56" t="s">
        <v>288</v>
      </c>
      <c r="G178" s="56" t="s">
        <v>289</v>
      </c>
    </row>
    <row r="179" spans="1:7" ht="15.75" customHeight="1">
      <c r="A179" s="9" t="n">
        <v>169</v>
      </c>
      <c r="B179" s="9" t="n">
        <v>133</v>
      </c>
      <c r="C179" s="9" t="n">
        <v>360</v>
      </c>
      <c r="D179" s="9" t="n">
        <v>360</v>
      </c>
      <c r="E179" s="56" t="s">
        <v>287</v>
      </c>
      <c r="F179" s="56" t="s">
        <v>288</v>
      </c>
      <c r="G179" s="56" t="s">
        <v>289</v>
      </c>
    </row>
    <row r="180" spans="1:7" ht="15.75" customHeight="1">
      <c r="A180" s="9" t="n">
        <v>170</v>
      </c>
      <c r="B180" s="9" t="n">
        <v>134</v>
      </c>
      <c r="C180" s="9" t="n">
        <v>355</v>
      </c>
      <c r="D180" s="9" t="n">
        <v>355</v>
      </c>
      <c r="E180" s="56" t="s">
        <v>287</v>
      </c>
      <c r="F180" s="56" t="s">
        <v>288</v>
      </c>
      <c r="G180" s="56" t="s">
        <v>289</v>
      </c>
    </row>
    <row r="181" spans="1:7" ht="15.75" customHeight="1">
      <c r="A181" s="9" t="n">
        <v>171</v>
      </c>
      <c r="B181" s="9" t="n">
        <v>135</v>
      </c>
      <c r="C181" s="9" t="n">
        <v>353</v>
      </c>
      <c r="D181" s="9" t="n">
        <v>353</v>
      </c>
      <c r="E181" s="56" t="s">
        <v>287</v>
      </c>
      <c r="F181" s="56" t="s">
        <v>288</v>
      </c>
      <c r="G181" s="56" t="s">
        <v>289</v>
      </c>
    </row>
    <row r="182" spans="1:7" ht="15.75" customHeight="1">
      <c r="A182" s="9" t="n">
        <v>172</v>
      </c>
      <c r="B182" s="9" t="n">
        <v>136</v>
      </c>
      <c r="C182" s="9" t="n">
        <v>350</v>
      </c>
      <c r="D182" s="9" t="n">
        <v>350</v>
      </c>
      <c r="E182" s="56" t="s">
        <v>287</v>
      </c>
      <c r="F182" s="56" t="s">
        <v>288</v>
      </c>
      <c r="G182" s="56" t="s">
        <v>289</v>
      </c>
    </row>
    <row r="183" spans="1:7" ht="15.75" customHeight="1">
      <c r="A183" s="9" t="n">
        <v>173</v>
      </c>
      <c r="B183" s="9" t="n">
        <v>137</v>
      </c>
      <c r="C183" s="9" t="n">
        <v>347</v>
      </c>
      <c r="D183" s="9" t="n">
        <v>347</v>
      </c>
      <c r="E183" s="56" t="s">
        <v>287</v>
      </c>
      <c r="F183" s="56" t="s">
        <v>288</v>
      </c>
      <c r="G183" s="56" t="s">
        <v>289</v>
      </c>
    </row>
    <row r="184" spans="1:7" ht="15.75" customHeight="1">
      <c r="A184" s="9" t="n">
        <v>174</v>
      </c>
      <c r="B184" s="9" t="n">
        <v>138</v>
      </c>
      <c r="C184" s="9" t="n">
        <v>347</v>
      </c>
      <c r="D184" s="9" t="n">
        <v>347</v>
      </c>
      <c r="E184" s="56" t="s">
        <v>287</v>
      </c>
      <c r="F184" s="56" t="s">
        <v>288</v>
      </c>
      <c r="G184" s="56" t="s">
        <v>289</v>
      </c>
    </row>
    <row r="185" spans="1:7" ht="15.75" customHeight="1">
      <c r="A185" s="9" t="n">
        <v>175</v>
      </c>
      <c r="B185" s="9" t="n">
        <v>139</v>
      </c>
      <c r="C185" s="9" t="n">
        <v>344</v>
      </c>
      <c r="D185" s="9" t="n">
        <v>344</v>
      </c>
      <c r="E185" s="56" t="s">
        <v>287</v>
      </c>
      <c r="F185" s="56" t="s">
        <v>288</v>
      </c>
      <c r="G185" s="56" t="s">
        <v>289</v>
      </c>
    </row>
    <row r="186" spans="1:7" ht="15.75" customHeight="1">
      <c r="A186" s="9" t="n">
        <v>176</v>
      </c>
      <c r="B186" s="9" t="n">
        <v>140</v>
      </c>
      <c r="C186" s="9" t="n">
        <v>343</v>
      </c>
      <c r="D186" s="9" t="n">
        <v>343</v>
      </c>
      <c r="E186" s="56" t="s">
        <v>277</v>
      </c>
      <c r="F186" s="56" t="s">
        <v>273</v>
      </c>
      <c r="G186" s="56" t="s">
        <v>273</v>
      </c>
    </row>
    <row r="187" spans="1:7" ht="15.75" customHeight="1">
      <c r="A187" s="9" t="n">
        <v>177</v>
      </c>
      <c r="B187" s="9" t="n">
        <v>141</v>
      </c>
      <c r="C187" s="9" t="n">
        <v>343</v>
      </c>
      <c r="D187" s="9" t="n">
        <v>343</v>
      </c>
      <c r="E187" s="56" t="s">
        <v>287</v>
      </c>
      <c r="F187" s="56" t="s">
        <v>288</v>
      </c>
      <c r="G187" s="56" t="s">
        <v>289</v>
      </c>
    </row>
    <row r="188" spans="1:7" ht="15.75" customHeight="1">
      <c r="A188" s="9" t="n">
        <v>178</v>
      </c>
      <c r="B188" s="9" t="n">
        <v>142</v>
      </c>
      <c r="C188" s="9" t="n">
        <v>341</v>
      </c>
      <c r="D188" s="9" t="n">
        <v>341</v>
      </c>
      <c r="E188" s="56" t="s">
        <v>287</v>
      </c>
      <c r="F188" s="56" t="s">
        <v>288</v>
      </c>
      <c r="G188" s="56" t="s">
        <v>289</v>
      </c>
    </row>
    <row r="189" spans="1:7" ht="15.75" customHeight="1">
      <c r="A189" s="9" t="n">
        <v>179</v>
      </c>
      <c r="B189" s="9" t="n">
        <v>143</v>
      </c>
      <c r="C189" s="9" t="n">
        <v>340</v>
      </c>
      <c r="D189" s="9" t="n">
        <v>340</v>
      </c>
      <c r="E189" s="56" t="s">
        <v>287</v>
      </c>
      <c r="F189" s="56" t="s">
        <v>288</v>
      </c>
      <c r="G189" s="56" t="s">
        <v>289</v>
      </c>
    </row>
    <row r="190" spans="1:7" ht="15.75" customHeight="1">
      <c r="A190" s="9" t="n">
        <v>180</v>
      </c>
      <c r="B190" s="9" t="n">
        <v>144</v>
      </c>
      <c r="C190" s="9" t="n">
        <v>330</v>
      </c>
      <c r="D190" s="9" t="n">
        <v>330</v>
      </c>
      <c r="E190" s="56" t="s">
        <v>287</v>
      </c>
      <c r="F190" s="56" t="s">
        <v>288</v>
      </c>
      <c r="G190" s="56" t="s">
        <v>289</v>
      </c>
    </row>
    <row r="191" spans="1:7" ht="15.75" customHeight="1">
      <c r="A191" s="9" t="n">
        <v>181</v>
      </c>
      <c r="B191" s="9" t="n">
        <v>145</v>
      </c>
      <c r="C191" s="9" t="n">
        <v>323</v>
      </c>
      <c r="D191" s="9" t="n">
        <v>323</v>
      </c>
      <c r="E191" s="56" t="s">
        <v>277</v>
      </c>
      <c r="F191" s="56" t="s">
        <v>273</v>
      </c>
      <c r="G191" s="56" t="s">
        <v>273</v>
      </c>
    </row>
    <row r="192" spans="1:7" ht="15.75" customHeight="1">
      <c r="A192" s="9" t="n">
        <v>182</v>
      </c>
      <c r="B192" s="9" t="n">
        <v>146</v>
      </c>
      <c r="C192" s="9" t="n">
        <v>320</v>
      </c>
      <c r="D192" s="9" t="n">
        <v>320</v>
      </c>
      <c r="E192" s="56" t="s">
        <v>277</v>
      </c>
      <c r="F192" s="56" t="s">
        <v>273</v>
      </c>
      <c r="G192" s="56" t="s">
        <v>273</v>
      </c>
    </row>
    <row r="193" spans="1:7" ht="15.75" customHeight="1">
      <c r="A193" s="9" t="n">
        <v>183</v>
      </c>
      <c r="B193" s="9" t="n">
        <v>147</v>
      </c>
      <c r="C193" s="9" t="n">
        <v>316</v>
      </c>
      <c r="D193" s="9" t="n">
        <v>316</v>
      </c>
      <c r="E193" s="56" t="s">
        <v>277</v>
      </c>
      <c r="F193" s="56" t="s">
        <v>273</v>
      </c>
      <c r="G193" s="56" t="s">
        <v>273</v>
      </c>
    </row>
    <row r="194" spans="1:7" ht="15.75" customHeight="1">
      <c r="A194" s="9" t="n">
        <v>184</v>
      </c>
      <c r="B194" s="9" t="n">
        <v>148</v>
      </c>
      <c r="C194" s="9" t="n">
        <v>314</v>
      </c>
      <c r="D194" s="9" t="n">
        <v>314</v>
      </c>
      <c r="E194" s="56" t="s">
        <v>287</v>
      </c>
      <c r="F194" s="56" t="s">
        <v>276</v>
      </c>
      <c r="G194" s="56" t="s">
        <v>289</v>
      </c>
    </row>
    <row r="195" spans="1:7" ht="15.75" customHeight="1">
      <c r="A195" s="9" t="n">
        <v>185</v>
      </c>
      <c r="B195" s="9" t="n">
        <v>149</v>
      </c>
      <c r="C195" s="9" t="n">
        <v>313</v>
      </c>
      <c r="D195" s="9" t="n">
        <v>313</v>
      </c>
      <c r="E195" s="56" t="s">
        <v>287</v>
      </c>
      <c r="F195" s="56" t="s">
        <v>288</v>
      </c>
      <c r="G195" s="56" t="s">
        <v>289</v>
      </c>
    </row>
    <row r="196" spans="1:7" ht="15.75" customHeight="1">
      <c r="A196" s="9" t="n">
        <v>186</v>
      </c>
      <c r="B196" s="9" t="n">
        <v>150</v>
      </c>
      <c r="C196" s="9" t="n">
        <v>313</v>
      </c>
      <c r="D196" s="9" t="n">
        <v>313</v>
      </c>
      <c r="E196" s="56" t="s">
        <v>277</v>
      </c>
      <c r="F196" s="56" t="s">
        <v>273</v>
      </c>
      <c r="G196" s="56" t="s">
        <v>273</v>
      </c>
    </row>
    <row r="197" spans="1:7" ht="15.75" customHeight="1">
      <c r="A197" s="9" t="n">
        <v>187</v>
      </c>
      <c r="B197" s="9" t="n">
        <v>151</v>
      </c>
      <c r="C197" s="9" t="n">
        <v>311</v>
      </c>
      <c r="D197" s="9" t="n">
        <v>311</v>
      </c>
      <c r="E197" s="56" t="s">
        <v>287</v>
      </c>
      <c r="F197" s="56" t="s">
        <v>276</v>
      </c>
      <c r="G197" s="56" t="s">
        <v>289</v>
      </c>
    </row>
    <row r="198" spans="1:7" ht="15.75" customHeight="1">
      <c r="A198" s="9" t="n">
        <v>188</v>
      </c>
      <c r="B198" s="9" t="n">
        <v>152</v>
      </c>
      <c r="C198" s="9" t="n">
        <v>311</v>
      </c>
      <c r="D198" s="9" t="n">
        <v>311</v>
      </c>
      <c r="E198" s="56" t="s">
        <v>287</v>
      </c>
      <c r="F198" s="56" t="s">
        <v>288</v>
      </c>
      <c r="G198" s="56" t="s">
        <v>289</v>
      </c>
    </row>
    <row r="199" spans="1:7" ht="15.75" customHeight="1">
      <c r="A199" s="9" t="n">
        <v>189</v>
      </c>
      <c r="B199" s="9" t="n">
        <v>153</v>
      </c>
      <c r="C199" s="9" t="n">
        <v>308</v>
      </c>
      <c r="D199" s="9" t="n">
        <v>308</v>
      </c>
      <c r="E199" s="56" t="s">
        <v>287</v>
      </c>
      <c r="F199" s="56" t="s">
        <v>288</v>
      </c>
      <c r="G199" s="56" t="s">
        <v>289</v>
      </c>
    </row>
    <row r="200" spans="1:7" ht="15.75" customHeight="1">
      <c r="A200" s="9" t="n">
        <v>190</v>
      </c>
      <c r="B200" s="9" t="n">
        <v>154</v>
      </c>
      <c r="C200" s="9" t="n">
        <v>305</v>
      </c>
      <c r="D200" s="9" t="n">
        <v>305</v>
      </c>
      <c r="E200" s="56" t="s">
        <v>287</v>
      </c>
      <c r="F200" s="56" t="s">
        <v>288</v>
      </c>
      <c r="G200" s="56" t="s">
        <v>289</v>
      </c>
    </row>
    <row r="201" spans="1:7" ht="15.75" customHeight="1">
      <c r="A201" s="9" t="n">
        <v>191</v>
      </c>
      <c r="B201" s="9" t="n">
        <v>155</v>
      </c>
      <c r="C201" s="9" t="n">
        <v>300</v>
      </c>
      <c r="D201" s="9" t="n">
        <v>300</v>
      </c>
      <c r="E201" s="56" t="s">
        <v>287</v>
      </c>
      <c r="F201" s="56" t="s">
        <v>288</v>
      </c>
      <c r="G201" s="56" t="s">
        <v>289</v>
      </c>
    </row>
    <row r="202" spans="1:7" ht="15.75" customHeight="1">
      <c r="A202" s="9" t="n">
        <v>192</v>
      </c>
      <c r="B202" s="9" t="n">
        <v>156</v>
      </c>
      <c r="C202" s="9" t="n">
        <v>295</v>
      </c>
      <c r="D202" s="9" t="n">
        <v>295</v>
      </c>
      <c r="E202" s="56" t="s">
        <v>277</v>
      </c>
      <c r="F202" s="56" t="s">
        <v>273</v>
      </c>
      <c r="G202" s="56" t="s">
        <v>273</v>
      </c>
    </row>
    <row r="203" spans="1:7" ht="15.75" customHeight="1">
      <c r="A203" s="9" t="n">
        <v>193</v>
      </c>
      <c r="B203" s="9" t="n">
        <v>157</v>
      </c>
      <c r="C203" s="9" t="n">
        <v>293</v>
      </c>
      <c r="D203" s="9" t="n">
        <v>293</v>
      </c>
      <c r="E203" s="56" t="s">
        <v>287</v>
      </c>
      <c r="F203" s="56" t="s">
        <v>288</v>
      </c>
      <c r="G203" s="56" t="s">
        <v>289</v>
      </c>
    </row>
    <row r="204" spans="1:7" ht="15.75" customHeight="1">
      <c r="A204" s="9" t="n">
        <v>194</v>
      </c>
      <c r="B204" s="9" t="n">
        <v>158</v>
      </c>
      <c r="C204" s="9" t="n">
        <v>291</v>
      </c>
      <c r="D204" s="9" t="n">
        <v>291</v>
      </c>
      <c r="E204" s="56" t="s">
        <v>287</v>
      </c>
      <c r="F204" s="56" t="s">
        <v>288</v>
      </c>
      <c r="G204" s="56" t="s">
        <v>289</v>
      </c>
    </row>
    <row r="205" spans="1:7" ht="15.75" customHeight="1">
      <c r="A205" s="9" t="n">
        <v>195</v>
      </c>
      <c r="B205" s="9" t="n">
        <v>159</v>
      </c>
      <c r="C205" s="9" t="n">
        <v>290</v>
      </c>
      <c r="D205" s="9" t="n">
        <v>290</v>
      </c>
      <c r="E205" s="56" t="s">
        <v>287</v>
      </c>
      <c r="F205" s="56" t="s">
        <v>288</v>
      </c>
      <c r="G205" s="56" t="s">
        <v>289</v>
      </c>
    </row>
    <row r="206" spans="1:7" ht="15.75" customHeight="1">
      <c r="A206" s="9" t="n">
        <v>196</v>
      </c>
      <c r="B206" s="9" t="n">
        <v>160</v>
      </c>
      <c r="C206" s="9" t="n">
        <v>288</v>
      </c>
      <c r="D206" s="9" t="n">
        <v>288</v>
      </c>
      <c r="E206" s="56" t="s">
        <v>287</v>
      </c>
      <c r="F206" s="56" t="s">
        <v>288</v>
      </c>
      <c r="G206" s="56" t="s">
        <v>289</v>
      </c>
    </row>
    <row r="207" spans="1:7" ht="15.75" customHeight="1">
      <c r="A207" s="9" t="n">
        <v>197</v>
      </c>
      <c r="B207" s="9" t="n">
        <v>161</v>
      </c>
      <c r="C207" s="9" t="n">
        <v>287</v>
      </c>
      <c r="D207" s="9" t="n">
        <v>287</v>
      </c>
      <c r="E207" s="56" t="s">
        <v>287</v>
      </c>
      <c r="F207" s="56" t="s">
        <v>288</v>
      </c>
      <c r="G207" s="56" t="s">
        <v>289</v>
      </c>
    </row>
    <row r="208" spans="1:7" ht="15.75" customHeight="1">
      <c r="A208" s="9" t="n">
        <v>198</v>
      </c>
      <c r="B208" s="9" t="n">
        <v>162</v>
      </c>
      <c r="C208" s="9" t="n">
        <v>285</v>
      </c>
      <c r="D208" s="9" t="n">
        <v>285</v>
      </c>
      <c r="E208" s="56" t="s">
        <v>277</v>
      </c>
      <c r="F208" s="56" t="s">
        <v>273</v>
      </c>
      <c r="G208" s="56" t="s">
        <v>273</v>
      </c>
    </row>
    <row r="209" spans="1:7" ht="15.75" customHeight="1">
      <c r="A209" s="9" t="n">
        <v>199</v>
      </c>
      <c r="B209" s="9" t="n">
        <v>163</v>
      </c>
      <c r="C209" s="9" t="n">
        <v>285</v>
      </c>
      <c r="D209" s="9" t="n">
        <v>285</v>
      </c>
      <c r="E209" s="56" t="s">
        <v>287</v>
      </c>
      <c r="F209" s="56" t="s">
        <v>288</v>
      </c>
      <c r="G209" s="56" t="s">
        <v>289</v>
      </c>
    </row>
    <row r="210" spans="1:7" ht="15.75" customHeight="1">
      <c r="A210" s="9" t="n">
        <v>200</v>
      </c>
      <c r="B210" s="9" t="n">
        <v>164</v>
      </c>
      <c r="C210" s="9" t="n">
        <v>284</v>
      </c>
      <c r="D210" s="9" t="n">
        <v>284</v>
      </c>
      <c r="E210" s="56" t="s">
        <v>287</v>
      </c>
      <c r="F210" s="56" t="s">
        <v>288</v>
      </c>
      <c r="G210" s="56" t="s">
        <v>289</v>
      </c>
    </row>
    <row r="211" spans="1:7" ht="15.75" customHeight="1">
      <c r="A211" s="9" t="n">
        <v>201</v>
      </c>
      <c r="B211" s="9" t="n">
        <v>165</v>
      </c>
      <c r="C211" s="9" t="n">
        <v>284</v>
      </c>
      <c r="D211" s="9" t="n">
        <v>284</v>
      </c>
      <c r="E211" s="56" t="s">
        <v>287</v>
      </c>
      <c r="F211" s="56" t="s">
        <v>288</v>
      </c>
      <c r="G211" s="56" t="s">
        <v>289</v>
      </c>
    </row>
    <row r="212" spans="1:7" ht="15.75" customHeight="1">
      <c r="A212" s="9" t="n">
        <v>202</v>
      </c>
      <c r="B212" s="9" t="n">
        <v>166</v>
      </c>
      <c r="C212" s="9" t="n">
        <v>283</v>
      </c>
      <c r="D212" s="9" t="n">
        <v>283</v>
      </c>
      <c r="E212" s="56" t="s">
        <v>277</v>
      </c>
      <c r="F212" s="56" t="s">
        <v>273</v>
      </c>
      <c r="G212" s="56" t="s">
        <v>273</v>
      </c>
    </row>
    <row r="213" spans="1:7" ht="15.75" customHeight="1">
      <c r="A213" s="9" t="n">
        <v>203</v>
      </c>
      <c r="B213" s="9" t="n">
        <v>167</v>
      </c>
      <c r="C213" s="9" t="n">
        <v>282</v>
      </c>
      <c r="D213" s="9" t="n">
        <v>282</v>
      </c>
      <c r="E213" s="56" t="s">
        <v>287</v>
      </c>
      <c r="F213" s="56" t="s">
        <v>288</v>
      </c>
      <c r="G213" s="56" t="s">
        <v>289</v>
      </c>
    </row>
    <row r="214" spans="1:7" ht="15.75" customHeight="1">
      <c r="A214" s="9" t="n">
        <v>204</v>
      </c>
      <c r="B214" s="9" t="n">
        <v>168</v>
      </c>
      <c r="C214" s="9" t="n">
        <v>281</v>
      </c>
      <c r="D214" s="9" t="n">
        <v>281</v>
      </c>
      <c r="E214" s="56" t="s">
        <v>287</v>
      </c>
      <c r="F214" s="56" t="s">
        <v>276</v>
      </c>
      <c r="G214" s="56" t="s">
        <v>289</v>
      </c>
    </row>
    <row r="215" spans="1:7" ht="15.75" customHeight="1">
      <c r="A215" s="9" t="n">
        <v>205</v>
      </c>
      <c r="B215" s="9" t="n">
        <v>169</v>
      </c>
      <c r="C215" s="9" t="n">
        <v>275</v>
      </c>
      <c r="D215" s="9" t="n">
        <v>275</v>
      </c>
      <c r="E215" s="56" t="s">
        <v>277</v>
      </c>
      <c r="F215" s="56" t="s">
        <v>273</v>
      </c>
      <c r="G215" s="56" t="s">
        <v>273</v>
      </c>
    </row>
    <row r="216" spans="1:7" ht="15.75" customHeight="1">
      <c r="A216" s="9" t="n">
        <v>206</v>
      </c>
      <c r="B216" s="9" t="n">
        <v>170</v>
      </c>
      <c r="C216" s="9" t="n">
        <v>274</v>
      </c>
      <c r="D216" s="9" t="n">
        <v>274</v>
      </c>
      <c r="E216" s="56" t="s">
        <v>287</v>
      </c>
      <c r="F216" s="56" t="s">
        <v>288</v>
      </c>
      <c r="G216" s="56" t="s">
        <v>289</v>
      </c>
    </row>
    <row r="217" spans="1:7" ht="15.75" customHeight="1">
      <c r="A217" s="9" t="n">
        <v>207</v>
      </c>
      <c r="B217" s="9" t="n">
        <v>171</v>
      </c>
      <c r="C217" s="9" t="n">
        <v>272</v>
      </c>
      <c r="D217" s="9" t="n">
        <v>272</v>
      </c>
      <c r="E217" s="56" t="s">
        <v>287</v>
      </c>
      <c r="F217" s="56" t="s">
        <v>288</v>
      </c>
      <c r="G217" s="56" t="s">
        <v>289</v>
      </c>
    </row>
    <row r="218" spans="1:7" ht="15.75" customHeight="1">
      <c r="A218" s="9" t="n">
        <v>208</v>
      </c>
      <c r="B218" s="9" t="n">
        <v>172</v>
      </c>
      <c r="C218" s="9" t="n">
        <v>267</v>
      </c>
      <c r="D218" s="9" t="n">
        <v>267</v>
      </c>
      <c r="E218" s="56" t="s">
        <v>287</v>
      </c>
      <c r="F218" s="56" t="s">
        <v>276</v>
      </c>
      <c r="G218" s="56" t="s">
        <v>289</v>
      </c>
    </row>
    <row r="219" spans="1:7" ht="15.75" customHeight="1">
      <c r="A219" s="9" t="n">
        <v>209</v>
      </c>
      <c r="B219" s="9" t="n">
        <v>173</v>
      </c>
      <c r="C219" s="9" t="n">
        <v>265</v>
      </c>
      <c r="D219" s="9" t="n">
        <v>265</v>
      </c>
      <c r="E219" s="56" t="s">
        <v>287</v>
      </c>
      <c r="F219" s="56" t="s">
        <v>288</v>
      </c>
      <c r="G219" s="56" t="s">
        <v>289</v>
      </c>
    </row>
    <row r="220" spans="1:7" ht="15.75" customHeight="1">
      <c r="A220" s="9" t="n">
        <v>210</v>
      </c>
      <c r="B220" s="9" t="n">
        <v>174</v>
      </c>
      <c r="C220" s="9" t="n">
        <v>263</v>
      </c>
      <c r="D220" s="9" t="n">
        <v>263</v>
      </c>
      <c r="E220" s="56" t="s">
        <v>277</v>
      </c>
      <c r="F220" s="56" t="s">
        <v>273</v>
      </c>
      <c r="G220" s="56" t="s">
        <v>273</v>
      </c>
    </row>
    <row r="221" spans="1:7" ht="15.75" customHeight="1">
      <c r="A221" s="9" t="n">
        <v>211</v>
      </c>
      <c r="B221" s="9" t="n">
        <v>175</v>
      </c>
      <c r="C221" s="9" t="n">
        <v>262</v>
      </c>
      <c r="D221" s="9" t="n">
        <v>262</v>
      </c>
      <c r="E221" s="56" t="s">
        <v>287</v>
      </c>
      <c r="F221" s="56" t="s">
        <v>288</v>
      </c>
      <c r="G221" s="56" t="s">
        <v>289</v>
      </c>
    </row>
    <row r="222" spans="1:7" ht="15.75" customHeight="1">
      <c r="A222" s="9" t="n">
        <v>212</v>
      </c>
      <c r="B222" s="9" t="n">
        <v>176</v>
      </c>
      <c r="C222" s="9" t="n">
        <v>261</v>
      </c>
      <c r="D222" s="9" t="n">
        <v>261</v>
      </c>
      <c r="E222" s="56" t="s">
        <v>287</v>
      </c>
      <c r="F222" s="56" t="s">
        <v>288</v>
      </c>
      <c r="G222" s="56" t="s">
        <v>289</v>
      </c>
    </row>
    <row r="223" spans="1:7" ht="15.75" customHeight="1">
      <c r="A223" s="9" t="n">
        <v>213</v>
      </c>
      <c r="B223" s="9" t="n">
        <v>177</v>
      </c>
      <c r="C223" s="9" t="n">
        <v>253</v>
      </c>
      <c r="D223" s="9" t="n">
        <v>253</v>
      </c>
      <c r="E223" s="56" t="s">
        <v>277</v>
      </c>
      <c r="F223" s="56" t="s">
        <v>273</v>
      </c>
      <c r="G223" s="56" t="s">
        <v>273</v>
      </c>
    </row>
    <row r="224" spans="1:7" ht="15.75" customHeight="1">
      <c r="A224" s="9" t="n">
        <v>214</v>
      </c>
      <c r="B224" s="9" t="n">
        <v>178</v>
      </c>
      <c r="C224" s="9" t="n">
        <v>251</v>
      </c>
      <c r="D224" s="9" t="n">
        <v>251</v>
      </c>
      <c r="E224" s="56" t="s">
        <v>277</v>
      </c>
      <c r="F224" s="56" t="s">
        <v>273</v>
      </c>
      <c r="G224" s="56" t="s">
        <v>273</v>
      </c>
    </row>
    <row r="225" spans="1:7" ht="15.75" customHeight="1">
      <c r="A225" s="9" t="n">
        <v>215</v>
      </c>
      <c r="B225" s="9" t="n">
        <v>179</v>
      </c>
      <c r="C225" s="9" t="n">
        <v>249</v>
      </c>
      <c r="D225" s="9" t="n">
        <v>249</v>
      </c>
      <c r="E225" s="56" t="s">
        <v>287</v>
      </c>
      <c r="F225" s="56" t="s">
        <v>288</v>
      </c>
      <c r="G225" s="56" t="s">
        <v>289</v>
      </c>
    </row>
    <row r="226" spans="1:7" ht="15.75" customHeight="1">
      <c r="A226" s="9" t="n">
        <v>216</v>
      </c>
      <c r="B226" s="9" t="n">
        <v>180</v>
      </c>
      <c r="C226" s="9" t="n">
        <v>248</v>
      </c>
      <c r="D226" s="9" t="n">
        <v>248</v>
      </c>
      <c r="E226" s="56" t="s">
        <v>287</v>
      </c>
      <c r="F226" s="56" t="s">
        <v>276</v>
      </c>
      <c r="G226" s="56" t="s">
        <v>289</v>
      </c>
    </row>
    <row r="227" spans="1:7" ht="15.75" customHeight="1">
      <c r="A227" s="9" t="n">
        <v>217</v>
      </c>
      <c r="B227" s="9" t="n">
        <v>181</v>
      </c>
      <c r="C227" s="9" t="n">
        <v>247</v>
      </c>
      <c r="D227" s="9" t="n">
        <v>247</v>
      </c>
      <c r="E227" s="56" t="s">
        <v>287</v>
      </c>
      <c r="F227" s="56" t="s">
        <v>288</v>
      </c>
      <c r="G227" s="56" t="s">
        <v>289</v>
      </c>
    </row>
    <row r="228" spans="1:7" ht="15.75" customHeight="1">
      <c r="A228" s="9" t="n">
        <v>218</v>
      </c>
      <c r="B228" s="9" t="n">
        <v>182</v>
      </c>
      <c r="C228" s="9" t="n">
        <v>246</v>
      </c>
      <c r="D228" s="9" t="n">
        <v>246</v>
      </c>
      <c r="E228" s="56" t="s">
        <v>287</v>
      </c>
      <c r="F228" s="56" t="s">
        <v>288</v>
      </c>
      <c r="G228" s="56" t="s">
        <v>289</v>
      </c>
    </row>
    <row r="229" spans="1:7" ht="15.75" customHeight="1">
      <c r="A229" s="9" t="n">
        <v>219</v>
      </c>
      <c r="B229" s="9" t="n">
        <v>183</v>
      </c>
      <c r="C229" s="9" t="n">
        <v>245</v>
      </c>
      <c r="D229" s="9" t="n">
        <v>245</v>
      </c>
      <c r="E229" s="56" t="s">
        <v>287</v>
      </c>
      <c r="F229" s="56" t="s">
        <v>288</v>
      </c>
      <c r="G229" s="56" t="s">
        <v>289</v>
      </c>
    </row>
    <row r="230" spans="1:7" ht="15.75" customHeight="1">
      <c r="A230" s="9" t="n">
        <v>220</v>
      </c>
      <c r="B230" s="9" t="n">
        <v>184</v>
      </c>
      <c r="C230" s="9" t="n">
        <v>244</v>
      </c>
      <c r="D230" s="9" t="n">
        <v>244</v>
      </c>
      <c r="E230" s="56" t="s">
        <v>287</v>
      </c>
      <c r="F230" s="56" t="s">
        <v>288</v>
      </c>
      <c r="G230" s="56" t="s">
        <v>289</v>
      </c>
    </row>
    <row r="231" spans="1:7" ht="15.75" customHeight="1">
      <c r="A231" s="9" t="n">
        <v>221</v>
      </c>
      <c r="B231" s="9" t="n">
        <v>185</v>
      </c>
      <c r="C231" s="9" t="n">
        <v>244</v>
      </c>
      <c r="D231" s="9" t="n">
        <v>244</v>
      </c>
      <c r="E231" s="56" t="s">
        <v>287</v>
      </c>
      <c r="F231" s="56" t="s">
        <v>288</v>
      </c>
      <c r="G231" s="56" t="s">
        <v>289</v>
      </c>
    </row>
    <row r="232" spans="1:7" ht="15.75" customHeight="1">
      <c r="A232" s="9" t="n">
        <v>222</v>
      </c>
      <c r="B232" s="9" t="n">
        <v>186</v>
      </c>
      <c r="C232" s="9" t="n">
        <v>243</v>
      </c>
      <c r="D232" s="9" t="n">
        <v>243</v>
      </c>
      <c r="E232" s="56" t="s">
        <v>287</v>
      </c>
      <c r="F232" s="56" t="s">
        <v>288</v>
      </c>
      <c r="G232" s="56" t="s">
        <v>289</v>
      </c>
    </row>
    <row r="233" spans="1:7" ht="15.75" customHeight="1">
      <c r="A233" s="9" t="n">
        <v>223</v>
      </c>
      <c r="B233" s="9" t="n">
        <v>187</v>
      </c>
      <c r="C233" s="9" t="n">
        <v>242</v>
      </c>
      <c r="D233" s="9" t="n">
        <v>242</v>
      </c>
      <c r="E233" s="56" t="s">
        <v>287</v>
      </c>
      <c r="F233" s="56" t="s">
        <v>276</v>
      </c>
      <c r="G233" s="56" t="s">
        <v>289</v>
      </c>
    </row>
    <row r="234" spans="1:7" ht="15.75" customHeight="1">
      <c r="A234" s="9" t="n">
        <v>224</v>
      </c>
      <c r="B234" s="9" t="n">
        <v>188</v>
      </c>
      <c r="C234" s="9" t="n">
        <v>237</v>
      </c>
      <c r="D234" s="9" t="n">
        <v>237</v>
      </c>
      <c r="E234" s="56" t="s">
        <v>287</v>
      </c>
      <c r="F234" s="56" t="s">
        <v>276</v>
      </c>
      <c r="G234" s="56" t="s">
        <v>289</v>
      </c>
    </row>
    <row r="235" spans="1:7" ht="15.75" customHeight="1">
      <c r="A235" s="9" t="n">
        <v>225</v>
      </c>
      <c r="B235" s="9" t="n">
        <v>189</v>
      </c>
      <c r="C235" s="9" t="n">
        <v>237</v>
      </c>
      <c r="D235" s="9" t="n">
        <v>237</v>
      </c>
      <c r="E235" s="56" t="s">
        <v>287</v>
      </c>
      <c r="F235" s="56" t="s">
        <v>288</v>
      </c>
      <c r="G235" s="56" t="s">
        <v>289</v>
      </c>
    </row>
    <row r="236" spans="1:7" ht="15.75" customHeight="1">
      <c r="A236" s="9" t="n">
        <v>226</v>
      </c>
      <c r="B236" s="9" t="n">
        <v>190</v>
      </c>
      <c r="C236" s="9" t="n">
        <v>234</v>
      </c>
      <c r="D236" s="9" t="n">
        <v>234</v>
      </c>
      <c r="E236" s="56" t="s">
        <v>277</v>
      </c>
      <c r="F236" s="56" t="s">
        <v>273</v>
      </c>
      <c r="G236" s="56" t="s">
        <v>273</v>
      </c>
    </row>
    <row r="237" spans="1:7" ht="15.75" customHeight="1">
      <c r="A237" s="9" t="n">
        <v>227</v>
      </c>
      <c r="B237" s="9" t="n">
        <v>191</v>
      </c>
      <c r="C237" s="9" t="n">
        <v>233</v>
      </c>
      <c r="D237" s="9" t="n">
        <v>233</v>
      </c>
      <c r="E237" s="56" t="s">
        <v>287</v>
      </c>
      <c r="F237" s="56" t="s">
        <v>288</v>
      </c>
      <c r="G237" s="56" t="s">
        <v>289</v>
      </c>
    </row>
    <row r="238" spans="1:7" ht="15.75" customHeight="1">
      <c r="A238" s="9" t="n">
        <v>228</v>
      </c>
      <c r="B238" s="9" t="n">
        <v>192</v>
      </c>
      <c r="C238" s="9" t="n">
        <v>232</v>
      </c>
      <c r="D238" s="9" t="n">
        <v>232</v>
      </c>
      <c r="E238" s="56" t="s">
        <v>287</v>
      </c>
      <c r="F238" s="56" t="s">
        <v>288</v>
      </c>
      <c r="G238" s="56" t="s">
        <v>289</v>
      </c>
    </row>
    <row r="239" spans="1:7" ht="15.75" customHeight="1">
      <c r="A239" s="9" t="n">
        <v>229</v>
      </c>
      <c r="B239" s="9" t="n">
        <v>193</v>
      </c>
      <c r="C239" s="9" t="n">
        <v>232</v>
      </c>
      <c r="D239" s="9" t="n">
        <v>232</v>
      </c>
      <c r="E239" s="56" t="s">
        <v>287</v>
      </c>
      <c r="F239" s="56" t="s">
        <v>288</v>
      </c>
      <c r="G239" s="56" t="s">
        <v>289</v>
      </c>
    </row>
    <row r="240" spans="1:7" ht="15.75" customHeight="1">
      <c r="A240" s="9" t="n">
        <v>230</v>
      </c>
      <c r="B240" s="9" t="n">
        <v>194</v>
      </c>
      <c r="C240" s="9" t="n">
        <v>232</v>
      </c>
      <c r="D240" s="9" t="n">
        <v>232</v>
      </c>
      <c r="E240" s="56" t="s">
        <v>287</v>
      </c>
      <c r="F240" s="56" t="s">
        <v>276</v>
      </c>
      <c r="G240" s="56" t="s">
        <v>289</v>
      </c>
    </row>
    <row r="241" spans="1:7" ht="15.75" customHeight="1">
      <c r="A241" s="9" t="n">
        <v>231</v>
      </c>
      <c r="B241" s="9" t="n">
        <v>195</v>
      </c>
      <c r="C241" s="9" t="n">
        <v>230</v>
      </c>
      <c r="D241" s="9" t="n">
        <v>230</v>
      </c>
      <c r="E241" s="56" t="s">
        <v>287</v>
      </c>
      <c r="F241" s="56" t="s">
        <v>288</v>
      </c>
      <c r="G241" s="56" t="s">
        <v>289</v>
      </c>
    </row>
    <row r="242" spans="1:7" ht="15.75" customHeight="1">
      <c r="A242" s="9" t="n">
        <v>232</v>
      </c>
      <c r="B242" s="9" t="n">
        <v>196</v>
      </c>
      <c r="C242" s="9" t="n">
        <v>230</v>
      </c>
      <c r="D242" s="9" t="n">
        <v>230</v>
      </c>
      <c r="E242" s="56" t="s">
        <v>277</v>
      </c>
      <c r="F242" s="56" t="s">
        <v>273</v>
      </c>
      <c r="G242" s="56" t="s">
        <v>273</v>
      </c>
    </row>
    <row r="243" spans="1:7" ht="15.75" customHeight="1">
      <c r="A243" s="9" t="n">
        <v>233</v>
      </c>
      <c r="B243" s="9" t="n">
        <v>197</v>
      </c>
      <c r="C243" s="9" t="n">
        <v>228</v>
      </c>
      <c r="D243" s="9" t="n">
        <v>228</v>
      </c>
      <c r="E243" s="56" t="s">
        <v>287</v>
      </c>
      <c r="F243" s="56" t="s">
        <v>288</v>
      </c>
      <c r="G243" s="56" t="s">
        <v>289</v>
      </c>
    </row>
    <row r="244" spans="1:7" ht="15.75" customHeight="1">
      <c r="A244" s="9" t="n">
        <v>234</v>
      </c>
      <c r="B244" s="9" t="n">
        <v>198</v>
      </c>
      <c r="C244" s="9" t="n">
        <v>228</v>
      </c>
      <c r="D244" s="9" t="n">
        <v>228</v>
      </c>
      <c r="E244" s="56" t="s">
        <v>287</v>
      </c>
      <c r="F244" s="56" t="s">
        <v>276</v>
      </c>
      <c r="G244" s="56" t="s">
        <v>289</v>
      </c>
    </row>
    <row r="245" spans="1:7" ht="15.75" customHeight="1">
      <c r="A245" s="9" t="n">
        <v>235</v>
      </c>
      <c r="B245" s="9" t="n">
        <v>199</v>
      </c>
      <c r="C245" s="9" t="n">
        <v>227</v>
      </c>
      <c r="D245" s="9" t="n">
        <v>227</v>
      </c>
      <c r="E245" s="56" t="s">
        <v>287</v>
      </c>
      <c r="F245" s="56" t="s">
        <v>288</v>
      </c>
      <c r="G245" s="56" t="s">
        <v>289</v>
      </c>
    </row>
    <row r="246" spans="1:7" ht="15.75" customHeight="1">
      <c r="A246" s="9" t="n">
        <v>236</v>
      </c>
      <c r="B246" s="9" t="n">
        <v>200</v>
      </c>
      <c r="C246" s="9" t="n">
        <v>225</v>
      </c>
      <c r="D246" s="9" t="n">
        <v>225</v>
      </c>
      <c r="E246" s="56" t="s">
        <v>287</v>
      </c>
      <c r="F246" s="56" t="s">
        <v>288</v>
      </c>
      <c r="G246" s="56" t="s">
        <v>289</v>
      </c>
    </row>
    <row r="247" spans="1:7" ht="15.75" customHeight="1">
      <c r="A247" s="9" t="n">
        <v>237</v>
      </c>
      <c r="B247" s="9" t="n">
        <v>201</v>
      </c>
      <c r="C247" s="9" t="n">
        <v>224</v>
      </c>
      <c r="D247" s="9" t="n">
        <v>224</v>
      </c>
      <c r="E247" s="56" t="s">
        <v>287</v>
      </c>
      <c r="F247" s="56" t="s">
        <v>276</v>
      </c>
      <c r="G247" s="56" t="s">
        <v>289</v>
      </c>
    </row>
    <row r="248" spans="1:7" ht="15.75" customHeight="1">
      <c r="A248" s="9" t="n">
        <v>238</v>
      </c>
      <c r="B248" s="9" t="n">
        <v>202</v>
      </c>
      <c r="C248" s="9" t="n">
        <v>223</v>
      </c>
      <c r="D248" s="9" t="n">
        <v>223</v>
      </c>
      <c r="E248" s="56" t="s">
        <v>287</v>
      </c>
      <c r="F248" s="56" t="s">
        <v>276</v>
      </c>
      <c r="G248" s="56" t="s">
        <v>289</v>
      </c>
    </row>
    <row r="249" spans="1:7" ht="15.75" customHeight="1">
      <c r="A249" s="9" t="n">
        <v>239</v>
      </c>
      <c r="B249" s="9" t="n">
        <v>203</v>
      </c>
      <c r="C249" s="9" t="n">
        <v>222</v>
      </c>
      <c r="D249" s="9" t="n">
        <v>222</v>
      </c>
      <c r="E249" s="56" t="s">
        <v>287</v>
      </c>
      <c r="F249" s="56" t="s">
        <v>288</v>
      </c>
      <c r="G249" s="56" t="s">
        <v>289</v>
      </c>
    </row>
    <row r="250" spans="1:7" ht="15.75" customHeight="1">
      <c r="A250" s="9" t="n">
        <v>240</v>
      </c>
      <c r="B250" s="9" t="n">
        <v>204</v>
      </c>
      <c r="C250" s="9" t="n">
        <v>221</v>
      </c>
      <c r="D250" s="9" t="n">
        <v>221</v>
      </c>
      <c r="E250" s="56" t="s">
        <v>287</v>
      </c>
      <c r="F250" s="56" t="s">
        <v>276</v>
      </c>
      <c r="G250" s="56" t="s">
        <v>289</v>
      </c>
    </row>
    <row r="251" spans="1:7" ht="15.75" customHeight="1">
      <c r="A251" s="9" t="n">
        <v>241</v>
      </c>
      <c r="B251" s="9" t="n">
        <v>205</v>
      </c>
      <c r="C251" s="9" t="n">
        <v>220</v>
      </c>
      <c r="D251" s="9" t="n">
        <v>220</v>
      </c>
      <c r="E251" s="56" t="s">
        <v>287</v>
      </c>
      <c r="F251" s="56" t="s">
        <v>288</v>
      </c>
      <c r="G251" s="56" t="s">
        <v>289</v>
      </c>
    </row>
    <row r="252" spans="1:7" ht="15.75" customHeight="1">
      <c r="A252" s="9" t="n">
        <v>242</v>
      </c>
      <c r="B252" s="9" t="n">
        <v>206</v>
      </c>
      <c r="C252" s="9" t="n">
        <v>220</v>
      </c>
      <c r="D252" s="9" t="n">
        <v>220</v>
      </c>
      <c r="E252" s="56" t="s">
        <v>287</v>
      </c>
      <c r="F252" s="56" t="s">
        <v>288</v>
      </c>
      <c r="G252" s="56" t="s">
        <v>289</v>
      </c>
    </row>
    <row r="253" spans="1:7" ht="15.75" customHeight="1">
      <c r="A253" s="9" t="n">
        <v>243</v>
      </c>
      <c r="B253" s="9" t="n">
        <v>207</v>
      </c>
      <c r="C253" s="9" t="n">
        <v>218</v>
      </c>
      <c r="D253" s="9" t="n">
        <v>218</v>
      </c>
      <c r="E253" s="56" t="s">
        <v>287</v>
      </c>
      <c r="F253" s="56" t="s">
        <v>288</v>
      </c>
      <c r="G253" s="56" t="s">
        <v>289</v>
      </c>
    </row>
    <row r="254" spans="1:7" ht="15.75" customHeight="1">
      <c r="A254" s="9" t="n">
        <v>244</v>
      </c>
      <c r="B254" s="9" t="n">
        <v>208</v>
      </c>
      <c r="C254" s="9" t="n">
        <v>218</v>
      </c>
      <c r="D254" s="9" t="n">
        <v>218</v>
      </c>
      <c r="E254" s="56" t="s">
        <v>287</v>
      </c>
      <c r="F254" s="56" t="s">
        <v>288</v>
      </c>
      <c r="G254" s="56" t="s">
        <v>289</v>
      </c>
    </row>
    <row r="255" spans="1:7" ht="15.75" customHeight="1">
      <c r="A255" s="9" t="n">
        <v>245</v>
      </c>
      <c r="B255" s="9" t="n">
        <v>209</v>
      </c>
      <c r="C255" s="9" t="n">
        <v>218</v>
      </c>
      <c r="D255" s="9" t="n">
        <v>218</v>
      </c>
      <c r="E255" s="56" t="s">
        <v>287</v>
      </c>
      <c r="F255" s="56" t="s">
        <v>288</v>
      </c>
      <c r="G255" s="56" t="s">
        <v>289</v>
      </c>
    </row>
    <row r="256" spans="1:7" ht="15.75" customHeight="1">
      <c r="A256" s="9" t="n">
        <v>246</v>
      </c>
      <c r="B256" s="9" t="n">
        <v>210</v>
      </c>
      <c r="C256" s="9" t="n">
        <v>218</v>
      </c>
      <c r="D256" s="9" t="n">
        <v>218</v>
      </c>
      <c r="E256" s="56" t="s">
        <v>287</v>
      </c>
      <c r="F256" s="56" t="s">
        <v>288</v>
      </c>
      <c r="G256" s="56" t="s">
        <v>289</v>
      </c>
    </row>
    <row r="257" spans="1:7" ht="15.75" customHeight="1">
      <c r="A257" s="9" t="n">
        <v>247</v>
      </c>
      <c r="B257" s="9" t="n">
        <v>211</v>
      </c>
      <c r="C257" s="9" t="n">
        <v>212</v>
      </c>
      <c r="D257" s="9" t="n">
        <v>212</v>
      </c>
      <c r="E257" s="56" t="s">
        <v>277</v>
      </c>
      <c r="F257" s="56" t="s">
        <v>273</v>
      </c>
      <c r="G257" s="56" t="s">
        <v>273</v>
      </c>
    </row>
    <row r="258" spans="1:7" ht="15.75" customHeight="1">
      <c r="A258" s="9" t="n">
        <v>248</v>
      </c>
      <c r="B258" s="9" t="n">
        <v>212</v>
      </c>
      <c r="C258" s="9" t="n">
        <v>212</v>
      </c>
      <c r="D258" s="9" t="n">
        <v>212</v>
      </c>
      <c r="E258" s="56" t="s">
        <v>287</v>
      </c>
      <c r="F258" s="56" t="s">
        <v>276</v>
      </c>
      <c r="G258" s="56" t="s">
        <v>289</v>
      </c>
    </row>
    <row r="259" spans="1:7" ht="15.75" customHeight="1">
      <c r="A259" s="9" t="n">
        <v>249</v>
      </c>
      <c r="B259" s="9" t="n">
        <v>213</v>
      </c>
      <c r="C259" s="9" t="n">
        <v>212</v>
      </c>
      <c r="D259" s="9" t="n">
        <v>212</v>
      </c>
      <c r="E259" s="56" t="s">
        <v>287</v>
      </c>
      <c r="F259" s="56" t="s">
        <v>288</v>
      </c>
      <c r="G259" s="56" t="s">
        <v>289</v>
      </c>
    </row>
    <row r="260" spans="1:7" ht="15.75" customHeight="1">
      <c r="A260" s="9" t="n">
        <v>250</v>
      </c>
      <c r="B260" s="9" t="n">
        <v>214</v>
      </c>
      <c r="C260" s="9" t="n">
        <v>212</v>
      </c>
      <c r="D260" s="9" t="n">
        <v>212</v>
      </c>
      <c r="E260" s="56" t="s">
        <v>287</v>
      </c>
      <c r="F260" s="56" t="s">
        <v>288</v>
      </c>
      <c r="G260" s="56" t="s">
        <v>289</v>
      </c>
    </row>
    <row r="261" spans="1:7" ht="15.75" customHeight="1">
      <c r="A261" s="9" t="n">
        <v>251</v>
      </c>
      <c r="B261" s="9" t="n">
        <v>215</v>
      </c>
      <c r="C261" s="9" t="n">
        <v>212</v>
      </c>
      <c r="D261" s="9" t="n">
        <v>212</v>
      </c>
      <c r="E261" s="56" t="s">
        <v>287</v>
      </c>
      <c r="F261" s="56" t="s">
        <v>288</v>
      </c>
      <c r="G261" s="56" t="s">
        <v>289</v>
      </c>
    </row>
    <row r="262" spans="1:7" ht="15.75" customHeight="1">
      <c r="A262" s="9" t="n">
        <v>252</v>
      </c>
      <c r="B262" s="9" t="n">
        <v>216</v>
      </c>
      <c r="C262" s="9" t="n">
        <v>210</v>
      </c>
      <c r="D262" s="9" t="n">
        <v>210</v>
      </c>
      <c r="E262" s="56" t="s">
        <v>277</v>
      </c>
      <c r="F262" s="56" t="s">
        <v>273</v>
      </c>
      <c r="G262" s="56" t="s">
        <v>273</v>
      </c>
    </row>
    <row r="263" spans="1:7" ht="15.75" customHeight="1">
      <c r="A263" s="9" t="n">
        <v>253</v>
      </c>
      <c r="B263" s="9" t="n">
        <v>217</v>
      </c>
      <c r="C263" s="9" t="n">
        <v>209</v>
      </c>
      <c r="D263" s="9" t="n">
        <v>209</v>
      </c>
      <c r="E263" s="56" t="s">
        <v>287</v>
      </c>
      <c r="F263" s="56" t="s">
        <v>288</v>
      </c>
      <c r="G263" s="56" t="s">
        <v>289</v>
      </c>
    </row>
    <row r="264" spans="1:7" ht="15.75" customHeight="1">
      <c r="A264" s="9" t="n">
        <v>254</v>
      </c>
      <c r="B264" s="9" t="n">
        <v>218</v>
      </c>
      <c r="C264" s="9" t="n">
        <v>208</v>
      </c>
      <c r="D264" s="9" t="n">
        <v>208</v>
      </c>
      <c r="E264" s="56" t="s">
        <v>287</v>
      </c>
      <c r="F264" s="56" t="s">
        <v>288</v>
      </c>
      <c r="G264" s="56" t="s">
        <v>289</v>
      </c>
    </row>
    <row r="265" spans="1:7" ht="15.75" customHeight="1">
      <c r="A265" s="9" t="n">
        <v>255</v>
      </c>
      <c r="B265" s="9" t="n">
        <v>219</v>
      </c>
      <c r="C265" s="9" t="n">
        <v>208</v>
      </c>
      <c r="D265" s="9" t="n">
        <v>208</v>
      </c>
      <c r="E265" s="56" t="s">
        <v>277</v>
      </c>
      <c r="F265" s="56" t="s">
        <v>273</v>
      </c>
      <c r="G265" s="56" t="s">
        <v>273</v>
      </c>
    </row>
    <row r="266" spans="1:7" ht="15.75" customHeight="1">
      <c r="A266" s="9" t="n">
        <v>256</v>
      </c>
      <c r="B266" s="9" t="n">
        <v>220</v>
      </c>
      <c r="C266" s="9" t="n">
        <v>204</v>
      </c>
      <c r="D266" s="9" t="n">
        <v>204</v>
      </c>
      <c r="E266" s="56" t="s">
        <v>287</v>
      </c>
      <c r="F266" s="56" t="s">
        <v>288</v>
      </c>
      <c r="G266" s="56" t="s">
        <v>289</v>
      </c>
    </row>
    <row r="267" spans="1:7" ht="15.75" customHeight="1">
      <c r="A267" s="9" t="n">
        <v>257</v>
      </c>
      <c r="B267" s="9" t="n">
        <v>221</v>
      </c>
      <c r="C267" s="9" t="n">
        <v>204</v>
      </c>
      <c r="D267" s="9" t="n">
        <v>204</v>
      </c>
      <c r="E267" s="56" t="s">
        <v>277</v>
      </c>
      <c r="F267" s="56" t="s">
        <v>273</v>
      </c>
      <c r="G267" s="56" t="s">
        <v>273</v>
      </c>
    </row>
    <row r="268" spans="1:7" ht="15.75" customHeight="1">
      <c r="A268" s="9" t="n">
        <v>258</v>
      </c>
      <c r="B268" s="9" t="n">
        <v>222</v>
      </c>
      <c r="C268" s="9" t="n">
        <v>203</v>
      </c>
      <c r="D268" s="9" t="n">
        <v>203</v>
      </c>
      <c r="E268" s="56" t="s">
        <v>287</v>
      </c>
      <c r="F268" s="56" t="s">
        <v>288</v>
      </c>
      <c r="G268" s="56" t="s">
        <v>289</v>
      </c>
    </row>
    <row r="269" spans="1:7" ht="15.75" customHeight="1">
      <c r="A269" s="9" t="n">
        <v>259</v>
      </c>
      <c r="B269" s="9" t="n">
        <v>223</v>
      </c>
      <c r="C269" s="9" t="n">
        <v>203</v>
      </c>
      <c r="D269" s="9" t="n">
        <v>203</v>
      </c>
      <c r="E269" s="56" t="s">
        <v>287</v>
      </c>
      <c r="F269" s="56" t="s">
        <v>288</v>
      </c>
      <c r="G269" s="56" t="s">
        <v>289</v>
      </c>
    </row>
    <row r="270" spans="1:7" ht="15.75" customHeight="1">
      <c r="A270" s="9" t="n">
        <v>260</v>
      </c>
      <c r="B270" s="9" t="n">
        <v>224</v>
      </c>
      <c r="C270" s="9" t="n">
        <v>202</v>
      </c>
      <c r="D270" s="9" t="n">
        <v>202</v>
      </c>
      <c r="E270" s="56" t="s">
        <v>287</v>
      </c>
      <c r="F270" s="56" t="s">
        <v>288</v>
      </c>
      <c r="G270" s="56" t="s">
        <v>289</v>
      </c>
    </row>
    <row r="271" spans="1:7" ht="15.75" customHeight="1">
      <c r="A271" s="9" t="n">
        <v>261</v>
      </c>
      <c r="B271" s="9" t="n">
        <v>225</v>
      </c>
      <c r="C271" s="9" t="n">
        <v>202</v>
      </c>
      <c r="D271" s="9" t="n">
        <v>202</v>
      </c>
      <c r="E271" s="56" t="s">
        <v>287</v>
      </c>
      <c r="F271" s="56" t="s">
        <v>276</v>
      </c>
      <c r="G271" s="56" t="s">
        <v>289</v>
      </c>
    </row>
    <row r="272" spans="1:7" ht="15.75" customHeight="1">
      <c r="A272" s="9" t="n">
        <v>262</v>
      </c>
      <c r="B272" s="9" t="n">
        <v>226</v>
      </c>
      <c r="C272" s="9" t="n">
        <v>201</v>
      </c>
      <c r="D272" s="9" t="n">
        <v>201</v>
      </c>
      <c r="E272" s="56" t="s">
        <v>287</v>
      </c>
      <c r="F272" s="56" t="s">
        <v>288</v>
      </c>
      <c r="G272" s="56" t="s">
        <v>289</v>
      </c>
    </row>
    <row r="273" spans="1:7" ht="15.75" customHeight="1">
      <c r="A273" s="9" t="n">
        <v>263</v>
      </c>
      <c r="B273" s="9" t="n">
        <v>227</v>
      </c>
      <c r="C273" s="9" t="n">
        <v>201</v>
      </c>
      <c r="D273" s="9" t="n">
        <v>201</v>
      </c>
      <c r="E273" s="56" t="s">
        <v>287</v>
      </c>
      <c r="F273" s="56" t="s">
        <v>276</v>
      </c>
      <c r="G273" s="56" t="s">
        <v>289</v>
      </c>
    </row>
    <row r="274" spans="1:7" ht="15.75" customHeight="1">
      <c r="A274" s="9" t="n">
        <v>264</v>
      </c>
      <c r="B274" s="9" t="n">
        <v>228</v>
      </c>
      <c r="C274" s="9" t="n">
        <v>201</v>
      </c>
      <c r="D274" s="9" t="n">
        <v>201</v>
      </c>
      <c r="E274" s="56" t="s">
        <v>287</v>
      </c>
      <c r="F274" s="56" t="s">
        <v>288</v>
      </c>
      <c r="G274" s="56" t="s">
        <v>289</v>
      </c>
    </row>
    <row r="275" spans="1:7" ht="15.75" customHeight="1">
      <c r="A275" s="9" t="n">
        <v>265</v>
      </c>
      <c r="B275" s="9" t="n">
        <v>229</v>
      </c>
      <c r="C275" s="9" t="n">
        <v>200</v>
      </c>
      <c r="D275" s="9" t="n">
        <v>200</v>
      </c>
      <c r="E275" s="56" t="s">
        <v>277</v>
      </c>
      <c r="F275" s="56" t="s">
        <v>273</v>
      </c>
      <c r="G275" s="56" t="s">
        <v>273</v>
      </c>
    </row>
    <row r="276" spans="1:7" ht="15.75" customHeight="1">
      <c r="A276" s="9" t="n">
        <v>266</v>
      </c>
      <c r="B276" s="9" t="n">
        <v>230</v>
      </c>
      <c r="C276" s="9" t="n">
        <v>199</v>
      </c>
      <c r="D276" s="9" t="n">
        <v>199</v>
      </c>
      <c r="E276" s="56" t="s">
        <v>287</v>
      </c>
      <c r="F276" s="56" t="s">
        <v>276</v>
      </c>
      <c r="G276" s="56" t="s">
        <v>289</v>
      </c>
    </row>
    <row r="277" spans="1:7" ht="15.75" customHeight="1">
      <c r="A277" s="9" t="n">
        <v>267</v>
      </c>
      <c r="B277" s="9" t="n">
        <v>231</v>
      </c>
      <c r="C277" s="9" t="n">
        <v>198</v>
      </c>
      <c r="D277" s="9" t="n">
        <v>198</v>
      </c>
      <c r="E277" s="56" t="s">
        <v>287</v>
      </c>
      <c r="F277" s="56" t="s">
        <v>288</v>
      </c>
      <c r="G277" s="56" t="s">
        <v>289</v>
      </c>
    </row>
    <row r="278" spans="1:7" ht="15.75" customHeight="1">
      <c r="A278" s="9" t="n">
        <v>268</v>
      </c>
      <c r="B278" s="9" t="n">
        <v>232</v>
      </c>
      <c r="C278" s="9" t="n">
        <v>198</v>
      </c>
      <c r="D278" s="9" t="n">
        <v>198</v>
      </c>
      <c r="E278" s="56" t="s">
        <v>287</v>
      </c>
      <c r="F278" s="56" t="s">
        <v>288</v>
      </c>
      <c r="G278" s="56" t="s">
        <v>289</v>
      </c>
    </row>
    <row r="279" spans="1:7" ht="15.75" customHeight="1">
      <c r="A279" s="9" t="n">
        <v>269</v>
      </c>
      <c r="B279" s="9" t="n">
        <v>233</v>
      </c>
      <c r="C279" s="9" t="n">
        <v>198</v>
      </c>
      <c r="D279" s="9" t="n">
        <v>198</v>
      </c>
      <c r="E279" s="56" t="s">
        <v>287</v>
      </c>
      <c r="F279" s="56" t="s">
        <v>288</v>
      </c>
      <c r="G279" s="56" t="s">
        <v>289</v>
      </c>
    </row>
    <row r="280" spans="1:7" ht="15.75" customHeight="1">
      <c r="A280" s="9" t="n">
        <v>270</v>
      </c>
      <c r="B280" s="9" t="n">
        <v>234</v>
      </c>
      <c r="C280" s="9" t="n">
        <v>198</v>
      </c>
      <c r="D280" s="9" t="n">
        <v>198</v>
      </c>
      <c r="E280" s="56" t="s">
        <v>287</v>
      </c>
      <c r="F280" s="56" t="s">
        <v>288</v>
      </c>
      <c r="G280" s="56" t="s">
        <v>289</v>
      </c>
    </row>
    <row r="281" spans="1:7" ht="15.75" customHeight="1">
      <c r="A281" s="9" t="n">
        <v>271</v>
      </c>
      <c r="B281" s="9" t="n">
        <v>235</v>
      </c>
      <c r="C281" s="9" t="n">
        <v>197</v>
      </c>
      <c r="D281" s="9" t="n">
        <v>197</v>
      </c>
      <c r="E281" s="56" t="s">
        <v>287</v>
      </c>
      <c r="F281" s="56" t="s">
        <v>288</v>
      </c>
      <c r="G281" s="56" t="s">
        <v>289</v>
      </c>
    </row>
    <row r="282" spans="1:7" ht="15.75" customHeight="1">
      <c r="A282" s="9" t="n">
        <v>272</v>
      </c>
      <c r="B282" s="9" t="n">
        <v>236</v>
      </c>
      <c r="C282" s="9" t="n">
        <v>197</v>
      </c>
      <c r="D282" s="9" t="n">
        <v>197</v>
      </c>
      <c r="E282" s="56" t="s">
        <v>280</v>
      </c>
      <c r="F282" s="56" t="s">
        <v>273</v>
      </c>
      <c r="G282" s="56" t="s">
        <v>281</v>
      </c>
    </row>
    <row r="283" spans="1:7" ht="15.75" customHeight="1">
      <c r="A283" s="9" t="n">
        <v>273</v>
      </c>
      <c r="B283" s="9" t="n">
        <v>237</v>
      </c>
      <c r="C283" s="9" t="n">
        <v>197</v>
      </c>
      <c r="D283" s="9" t="n">
        <v>197</v>
      </c>
      <c r="E283" s="56" t="s">
        <v>287</v>
      </c>
      <c r="F283" s="56" t="s">
        <v>276</v>
      </c>
      <c r="G283" s="56" t="s">
        <v>289</v>
      </c>
    </row>
    <row r="284" spans="1:7" ht="15.75" customHeight="1">
      <c r="A284" s="9" t="n">
        <v>274</v>
      </c>
      <c r="B284" s="9" t="n">
        <v>238</v>
      </c>
      <c r="C284" s="9" t="n">
        <v>195</v>
      </c>
      <c r="D284" s="9" t="n">
        <v>195</v>
      </c>
      <c r="E284" s="56" t="s">
        <v>287</v>
      </c>
      <c r="F284" s="56" t="s">
        <v>288</v>
      </c>
      <c r="G284" s="56" t="s">
        <v>289</v>
      </c>
    </row>
    <row r="285" spans="1:7" ht="15.75" customHeight="1">
      <c r="A285" s="9" t="n">
        <v>275</v>
      </c>
      <c r="B285" s="9" t="n">
        <v>239</v>
      </c>
      <c r="C285" s="9" t="n">
        <v>194</v>
      </c>
      <c r="D285" s="9" t="n">
        <v>194</v>
      </c>
      <c r="E285" s="56" t="s">
        <v>287</v>
      </c>
      <c r="F285" s="56" t="s">
        <v>288</v>
      </c>
      <c r="G285" s="56" t="s">
        <v>289</v>
      </c>
    </row>
    <row r="286" spans="1:7" ht="15.75" customHeight="1">
      <c r="A286" s="9" t="n">
        <v>276</v>
      </c>
      <c r="B286" s="9" t="n">
        <v>240</v>
      </c>
      <c r="C286" s="9" t="n">
        <v>194</v>
      </c>
      <c r="D286" s="9" t="n">
        <v>194</v>
      </c>
      <c r="E286" s="56" t="s">
        <v>287</v>
      </c>
      <c r="F286" s="56" t="s">
        <v>288</v>
      </c>
      <c r="G286" s="56" t="s">
        <v>289</v>
      </c>
    </row>
    <row r="287" spans="1:7" ht="15.75" customHeight="1">
      <c r="A287" s="9" t="n">
        <v>277</v>
      </c>
      <c r="B287" s="9" t="n">
        <v>241</v>
      </c>
      <c r="C287" s="9" t="n">
        <v>193</v>
      </c>
      <c r="D287" s="9" t="n">
        <v>193</v>
      </c>
      <c r="E287" s="56" t="s">
        <v>277</v>
      </c>
      <c r="F287" s="56" t="s">
        <v>273</v>
      </c>
      <c r="G287" s="56" t="s">
        <v>273</v>
      </c>
    </row>
    <row r="288" spans="1:7" ht="15.75" customHeight="1">
      <c r="A288" s="9" t="n">
        <v>278</v>
      </c>
      <c r="B288" s="9" t="n">
        <v>242</v>
      </c>
      <c r="C288" s="9" t="n">
        <v>192</v>
      </c>
      <c r="D288" s="9" t="n">
        <v>192</v>
      </c>
      <c r="E288" s="56" t="s">
        <v>287</v>
      </c>
      <c r="F288" s="56" t="s">
        <v>288</v>
      </c>
      <c r="G288" s="56" t="s">
        <v>289</v>
      </c>
    </row>
    <row r="289" spans="1:7" ht="15.75" customHeight="1">
      <c r="A289" s="9" t="n">
        <v>279</v>
      </c>
      <c r="B289" s="9" t="n">
        <v>243</v>
      </c>
      <c r="C289" s="9" t="n">
        <v>191</v>
      </c>
      <c r="D289" s="9" t="n">
        <v>191</v>
      </c>
      <c r="E289" s="56" t="s">
        <v>287</v>
      </c>
      <c r="F289" s="56" t="s">
        <v>288</v>
      </c>
      <c r="G289" s="56" t="s">
        <v>289</v>
      </c>
    </row>
    <row r="290" spans="1:7" ht="15.75" customHeight="1">
      <c r="A290" s="9" t="n">
        <v>280</v>
      </c>
      <c r="B290" s="9" t="n">
        <v>244</v>
      </c>
      <c r="C290" s="9" t="n">
        <v>191</v>
      </c>
      <c r="D290" s="9" t="n">
        <v>191</v>
      </c>
      <c r="E290" s="56" t="s">
        <v>287</v>
      </c>
      <c r="F290" s="56" t="s">
        <v>288</v>
      </c>
      <c r="G290" s="56" t="s">
        <v>289</v>
      </c>
    </row>
    <row r="291" spans="1:7" ht="15.75" customHeight="1">
      <c r="A291" s="9" t="n">
        <v>281</v>
      </c>
      <c r="B291" s="9" t="n">
        <v>245</v>
      </c>
      <c r="C291" s="9" t="n">
        <v>191</v>
      </c>
      <c r="D291" s="9" t="n">
        <v>191</v>
      </c>
      <c r="E291" s="56" t="s">
        <v>287</v>
      </c>
      <c r="F291" s="56" t="s">
        <v>276</v>
      </c>
      <c r="G291" s="56" t="s">
        <v>289</v>
      </c>
    </row>
    <row r="292" spans="1:7" ht="15.75" customHeight="1">
      <c r="A292" s="9" t="n">
        <v>282</v>
      </c>
      <c r="B292" s="9" t="n">
        <v>246</v>
      </c>
      <c r="C292" s="9" t="n">
        <v>190</v>
      </c>
      <c r="D292" s="9" t="n">
        <v>190</v>
      </c>
      <c r="E292" s="56" t="s">
        <v>287</v>
      </c>
      <c r="F292" s="56" t="s">
        <v>288</v>
      </c>
      <c r="G292" s="56" t="s">
        <v>289</v>
      </c>
    </row>
    <row r="293" spans="1:7" ht="15.75" customHeight="1">
      <c r="A293" s="9" t="n">
        <v>283</v>
      </c>
      <c r="B293" s="9" t="n">
        <v>247</v>
      </c>
      <c r="C293" s="9" t="n">
        <v>188</v>
      </c>
      <c r="D293" s="9" t="n">
        <v>188</v>
      </c>
      <c r="E293" s="56" t="s">
        <v>287</v>
      </c>
      <c r="F293" s="56" t="s">
        <v>288</v>
      </c>
      <c r="G293" s="56" t="s">
        <v>289</v>
      </c>
    </row>
    <row r="294" spans="1:7" ht="15.75" customHeight="1">
      <c r="A294" s="9" t="n">
        <v>284</v>
      </c>
      <c r="B294" s="9" t="n">
        <v>248</v>
      </c>
      <c r="C294" s="9" t="n">
        <v>186</v>
      </c>
      <c r="D294" s="9" t="n">
        <v>186</v>
      </c>
      <c r="E294" s="56" t="s">
        <v>287</v>
      </c>
      <c r="F294" s="56" t="s">
        <v>288</v>
      </c>
      <c r="G294" s="56" t="s">
        <v>289</v>
      </c>
    </row>
    <row r="295" spans="1:7" ht="15.75" customHeight="1">
      <c r="A295" s="9" t="n">
        <v>285</v>
      </c>
      <c r="B295" s="9" t="n">
        <v>249</v>
      </c>
      <c r="C295" s="9" t="n">
        <v>184</v>
      </c>
      <c r="D295" s="9" t="n">
        <v>184</v>
      </c>
      <c r="E295" s="56" t="s">
        <v>287</v>
      </c>
      <c r="F295" s="56" t="s">
        <v>288</v>
      </c>
      <c r="G295" s="56" t="s">
        <v>289</v>
      </c>
    </row>
    <row r="296" spans="1:7" ht="15.75" customHeight="1">
      <c r="A296" s="9" t="n">
        <v>286</v>
      </c>
      <c r="B296" s="9" t="n">
        <v>250</v>
      </c>
      <c r="C296" s="9" t="n">
        <v>183</v>
      </c>
      <c r="D296" s="9" t="n">
        <v>183</v>
      </c>
      <c r="E296" s="56" t="s">
        <v>287</v>
      </c>
      <c r="F296" s="56" t="s">
        <v>276</v>
      </c>
      <c r="G296" s="56" t="s">
        <v>289</v>
      </c>
    </row>
    <row r="297" spans="1:7" ht="15.75" customHeight="1">
      <c r="A297" s="9" t="n">
        <v>287</v>
      </c>
      <c r="B297" s="9" t="n">
        <v>251</v>
      </c>
      <c r="C297" s="9" t="n">
        <v>183</v>
      </c>
      <c r="D297" s="9" t="n">
        <v>183</v>
      </c>
      <c r="E297" s="56" t="s">
        <v>287</v>
      </c>
      <c r="F297" s="56" t="s">
        <v>288</v>
      </c>
      <c r="G297" s="56" t="s">
        <v>289</v>
      </c>
    </row>
    <row r="298" spans="1:7" ht="15.75" customHeight="1">
      <c r="A298" s="9" t="n">
        <v>288</v>
      </c>
      <c r="B298" s="9" t="n">
        <v>252</v>
      </c>
      <c r="C298" s="9" t="n">
        <v>182</v>
      </c>
      <c r="D298" s="9" t="n">
        <v>182</v>
      </c>
      <c r="E298" s="56" t="s">
        <v>277</v>
      </c>
      <c r="F298" s="56" t="s">
        <v>273</v>
      </c>
      <c r="G298" s="56" t="s">
        <v>273</v>
      </c>
    </row>
    <row r="299" spans="1:7" ht="15.75" customHeight="1">
      <c r="A299" s="9" t="n">
        <v>289</v>
      </c>
      <c r="B299" s="9" t="n">
        <v>253</v>
      </c>
      <c r="C299" s="9" t="n">
        <v>182</v>
      </c>
      <c r="D299" s="9" t="n">
        <v>182</v>
      </c>
      <c r="E299" s="56" t="s">
        <v>287</v>
      </c>
      <c r="F299" s="56" t="s">
        <v>288</v>
      </c>
      <c r="G299" s="56" t="s">
        <v>289</v>
      </c>
    </row>
    <row r="300" spans="1:7" ht="15.75" customHeight="1">
      <c r="A300" s="9" t="n">
        <v>290</v>
      </c>
      <c r="B300" s="9" t="n">
        <v>254</v>
      </c>
      <c r="C300" s="9" t="n">
        <v>181</v>
      </c>
      <c r="D300" s="9" t="n">
        <v>181</v>
      </c>
      <c r="E300" s="56" t="s">
        <v>287</v>
      </c>
      <c r="F300" s="56" t="s">
        <v>288</v>
      </c>
      <c r="G300" s="56" t="s">
        <v>289</v>
      </c>
    </row>
    <row r="301" spans="1:7" ht="15.75" customHeight="1">
      <c r="A301" s="9" t="n">
        <v>291</v>
      </c>
      <c r="B301" s="9" t="n">
        <v>255</v>
      </c>
      <c r="C301" s="9" t="n">
        <v>180</v>
      </c>
      <c r="D301" s="9" t="n">
        <v>180</v>
      </c>
      <c r="E301" s="56" t="s">
        <v>277</v>
      </c>
      <c r="F301" s="56" t="s">
        <v>273</v>
      </c>
      <c r="G301" s="56" t="s">
        <v>273</v>
      </c>
    </row>
    <row r="302" spans="1:7" ht="15.75" customHeight="1">
      <c r="A302" s="9" t="n">
        <v>292</v>
      </c>
      <c r="B302" s="9" t="n">
        <v>256</v>
      </c>
      <c r="C302" s="9" t="n">
        <v>179</v>
      </c>
      <c r="D302" s="9" t="n">
        <v>179</v>
      </c>
      <c r="E302" s="56" t="s">
        <v>287</v>
      </c>
      <c r="F302" s="56" t="s">
        <v>288</v>
      </c>
      <c r="G302" s="56" t="s">
        <v>289</v>
      </c>
    </row>
    <row r="303" spans="1:7" ht="15.75" customHeight="1">
      <c r="A303" s="9" t="n">
        <v>293</v>
      </c>
      <c r="B303" s="9" t="n">
        <v>257</v>
      </c>
      <c r="C303" s="9" t="n">
        <v>177</v>
      </c>
      <c r="D303" s="9" t="n">
        <v>177</v>
      </c>
      <c r="E303" s="56" t="s">
        <v>287</v>
      </c>
      <c r="F303" s="56" t="s">
        <v>288</v>
      </c>
      <c r="G303" s="56" t="s">
        <v>289</v>
      </c>
    </row>
    <row r="304" spans="1:7" ht="15.75" customHeight="1">
      <c r="A304" s="9" t="n">
        <v>294</v>
      </c>
      <c r="B304" s="9" t="n">
        <v>258</v>
      </c>
      <c r="C304" s="9" t="n">
        <v>176</v>
      </c>
      <c r="D304" s="9" t="n">
        <v>176</v>
      </c>
      <c r="E304" s="56" t="s">
        <v>287</v>
      </c>
      <c r="F304" s="56" t="s">
        <v>288</v>
      </c>
      <c r="G304" s="56" t="s">
        <v>289</v>
      </c>
    </row>
    <row r="305" spans="1:7" ht="15.75" customHeight="1">
      <c r="A305" s="9" t="n">
        <v>295</v>
      </c>
      <c r="B305" s="9" t="n">
        <v>259</v>
      </c>
      <c r="C305" s="9" t="n">
        <v>175</v>
      </c>
      <c r="D305" s="9" t="n">
        <v>175</v>
      </c>
      <c r="E305" s="56" t="s">
        <v>277</v>
      </c>
      <c r="F305" s="56" t="s">
        <v>273</v>
      </c>
      <c r="G305" s="56" t="s">
        <v>273</v>
      </c>
    </row>
    <row r="306" spans="1:7" ht="15.75" customHeight="1">
      <c r="A306" s="9" t="n">
        <v>296</v>
      </c>
      <c r="B306" s="9" t="n">
        <v>260</v>
      </c>
      <c r="C306" s="9" t="n">
        <v>175</v>
      </c>
      <c r="D306" s="9" t="n">
        <v>175</v>
      </c>
      <c r="E306" s="56" t="s">
        <v>277</v>
      </c>
      <c r="F306" s="56" t="s">
        <v>273</v>
      </c>
      <c r="G306" s="56" t="s">
        <v>273</v>
      </c>
    </row>
    <row r="307" spans="1:7" ht="15.75" customHeight="1">
      <c r="A307" s="9" t="n">
        <v>297</v>
      </c>
      <c r="B307" s="9" t="n">
        <v>261</v>
      </c>
      <c r="C307" s="9" t="n">
        <v>174</v>
      </c>
      <c r="D307" s="9" t="n">
        <v>174</v>
      </c>
      <c r="E307" s="56" t="s">
        <v>287</v>
      </c>
      <c r="F307" s="56" t="s">
        <v>288</v>
      </c>
      <c r="G307" s="56" t="s">
        <v>289</v>
      </c>
    </row>
    <row r="308" spans="1:7" ht="15.75" customHeight="1">
      <c r="A308" s="9" t="n">
        <v>298</v>
      </c>
      <c r="B308" s="9" t="n">
        <v>262</v>
      </c>
      <c r="C308" s="9" t="n">
        <v>172</v>
      </c>
      <c r="D308" s="9" t="n">
        <v>172</v>
      </c>
      <c r="E308" s="56" t="s">
        <v>277</v>
      </c>
      <c r="F308" s="56" t="s">
        <v>273</v>
      </c>
      <c r="G308" s="56" t="s">
        <v>273</v>
      </c>
    </row>
    <row r="309" spans="1:7" ht="15.75" customHeight="1">
      <c r="A309" s="9" t="n">
        <v>299</v>
      </c>
      <c r="B309" s="9" t="n">
        <v>263</v>
      </c>
      <c r="C309" s="9" t="n">
        <v>172</v>
      </c>
      <c r="D309" s="9" t="n">
        <v>172</v>
      </c>
      <c r="E309" s="56" t="s">
        <v>287</v>
      </c>
      <c r="F309" s="56" t="s">
        <v>276</v>
      </c>
      <c r="G309" s="56" t="s">
        <v>289</v>
      </c>
    </row>
    <row r="310" spans="1:7" ht="15.75" customHeight="1">
      <c r="A310" s="9" t="n">
        <v>300</v>
      </c>
      <c r="B310" s="9" t="n">
        <v>264</v>
      </c>
      <c r="C310" s="9" t="n">
        <v>172</v>
      </c>
      <c r="D310" s="9" t="n">
        <v>172</v>
      </c>
      <c r="E310" s="56" t="s">
        <v>287</v>
      </c>
      <c r="F310" s="56" t="s">
        <v>288</v>
      </c>
      <c r="G310" s="56" t="s">
        <v>289</v>
      </c>
    </row>
    <row r="311" spans="1:7" ht="15.75" customHeight="1">
      <c r="A311" s="9" t="n">
        <v>301</v>
      </c>
      <c r="B311" s="9" t="n">
        <v>265</v>
      </c>
      <c r="C311" s="9" t="n">
        <v>171</v>
      </c>
      <c r="D311" s="9" t="n">
        <v>171</v>
      </c>
      <c r="E311" s="56" t="s">
        <v>287</v>
      </c>
      <c r="F311" s="56" t="s">
        <v>288</v>
      </c>
      <c r="G311" s="56" t="s">
        <v>289</v>
      </c>
    </row>
    <row r="312" spans="1:7" ht="15.75" customHeight="1">
      <c r="A312" s="9" t="n">
        <v>302</v>
      </c>
      <c r="B312" s="9" t="n">
        <v>266</v>
      </c>
      <c r="C312" s="9" t="n">
        <v>171</v>
      </c>
      <c r="D312" s="9" t="n">
        <v>171</v>
      </c>
      <c r="E312" s="56" t="s">
        <v>287</v>
      </c>
      <c r="F312" s="56" t="s">
        <v>288</v>
      </c>
      <c r="G312" s="56" t="s">
        <v>289</v>
      </c>
    </row>
    <row r="313" spans="1:7" ht="15.75" customHeight="1">
      <c r="A313" s="9" t="n">
        <v>303</v>
      </c>
      <c r="B313" s="9" t="n">
        <v>267</v>
      </c>
      <c r="C313" s="9" t="n">
        <v>171</v>
      </c>
      <c r="D313" s="9" t="n">
        <v>171</v>
      </c>
      <c r="E313" s="56" t="s">
        <v>287</v>
      </c>
      <c r="F313" s="56" t="s">
        <v>288</v>
      </c>
      <c r="G313" s="56" t="s">
        <v>289</v>
      </c>
    </row>
    <row r="314" spans="1:7" ht="15.75" customHeight="1">
      <c r="A314" s="9" t="n">
        <v>304</v>
      </c>
      <c r="B314" s="9" t="n">
        <v>268</v>
      </c>
      <c r="C314" s="9" t="n">
        <v>170</v>
      </c>
      <c r="D314" s="9" t="n">
        <v>170</v>
      </c>
      <c r="E314" s="56" t="s">
        <v>277</v>
      </c>
      <c r="F314" s="56" t="s">
        <v>273</v>
      </c>
      <c r="G314" s="56" t="s">
        <v>273</v>
      </c>
    </row>
    <row r="315" spans="1:7" ht="15.75" customHeight="1">
      <c r="A315" s="9" t="n">
        <v>305</v>
      </c>
      <c r="B315" s="9" t="n">
        <v>269</v>
      </c>
      <c r="C315" s="9" t="n">
        <v>170</v>
      </c>
      <c r="D315" s="9" t="n">
        <v>170</v>
      </c>
      <c r="E315" s="56" t="s">
        <v>287</v>
      </c>
      <c r="F315" s="56" t="s">
        <v>288</v>
      </c>
      <c r="G315" s="56" t="s">
        <v>289</v>
      </c>
    </row>
    <row r="316" spans="1:7" ht="15.75" customHeight="1">
      <c r="A316" s="9" t="n">
        <v>306</v>
      </c>
      <c r="B316" s="9" t="n">
        <v>270</v>
      </c>
      <c r="C316" s="9" t="n">
        <v>166</v>
      </c>
      <c r="D316" s="9" t="n">
        <v>166</v>
      </c>
      <c r="E316" s="56" t="s">
        <v>287</v>
      </c>
      <c r="F316" s="56" t="s">
        <v>288</v>
      </c>
      <c r="G316" s="56" t="s">
        <v>289</v>
      </c>
    </row>
    <row r="317" spans="1:7" ht="15.75" customHeight="1">
      <c r="A317" s="9" t="n">
        <v>307</v>
      </c>
      <c r="B317" s="9" t="n">
        <v>271</v>
      </c>
      <c r="C317" s="9" t="n">
        <v>166</v>
      </c>
      <c r="D317" s="9" t="n">
        <v>166</v>
      </c>
      <c r="E317" s="56" t="s">
        <v>287</v>
      </c>
      <c r="F317" s="56" t="s">
        <v>288</v>
      </c>
      <c r="G317" s="56" t="s">
        <v>289</v>
      </c>
    </row>
    <row r="318" spans="1:7" ht="15.75" customHeight="1">
      <c r="A318" s="9" t="n">
        <v>308</v>
      </c>
      <c r="B318" s="9" t="n">
        <v>272</v>
      </c>
      <c r="C318" s="9" t="n">
        <v>165</v>
      </c>
      <c r="D318" s="9" t="n">
        <v>165</v>
      </c>
      <c r="E318" s="56" t="s">
        <v>287</v>
      </c>
      <c r="F318" s="56" t="s">
        <v>288</v>
      </c>
      <c r="G318" s="56" t="s">
        <v>289</v>
      </c>
    </row>
    <row r="319" spans="1:7" ht="15.75" customHeight="1">
      <c r="A319" s="9" t="n">
        <v>309</v>
      </c>
      <c r="B319" s="9" t="n">
        <v>273</v>
      </c>
      <c r="C319" s="9" t="n">
        <v>165</v>
      </c>
      <c r="D319" s="9" t="n">
        <v>165</v>
      </c>
      <c r="E319" s="56" t="s">
        <v>287</v>
      </c>
      <c r="F319" s="56" t="s">
        <v>288</v>
      </c>
      <c r="G319" s="56" t="s">
        <v>289</v>
      </c>
    </row>
    <row r="320" spans="1:7" ht="15.75" customHeight="1">
      <c r="A320" s="9" t="n">
        <v>310</v>
      </c>
      <c r="B320" s="9" t="n">
        <v>274</v>
      </c>
      <c r="C320" s="9" t="n">
        <v>165</v>
      </c>
      <c r="D320" s="9" t="n">
        <v>165</v>
      </c>
      <c r="E320" s="56" t="s">
        <v>277</v>
      </c>
      <c r="F320" s="56" t="s">
        <v>273</v>
      </c>
      <c r="G320" s="56" t="s">
        <v>273</v>
      </c>
    </row>
    <row r="321" spans="1:7" ht="15.75" customHeight="1">
      <c r="A321" s="9" t="n">
        <v>311</v>
      </c>
      <c r="B321" s="9" t="n">
        <v>275</v>
      </c>
      <c r="C321" s="9" t="n">
        <v>164</v>
      </c>
      <c r="D321" s="9" t="n">
        <v>164</v>
      </c>
      <c r="E321" s="56" t="s">
        <v>287</v>
      </c>
      <c r="F321" s="56" t="s">
        <v>276</v>
      </c>
      <c r="G321" s="56" t="s">
        <v>289</v>
      </c>
    </row>
    <row r="322" spans="1:7" ht="15.75" customHeight="1">
      <c r="A322" s="9" t="n">
        <v>312</v>
      </c>
      <c r="B322" s="9" t="n">
        <v>276</v>
      </c>
      <c r="C322" s="9" t="n">
        <v>164</v>
      </c>
      <c r="D322" s="9" t="n">
        <v>164</v>
      </c>
      <c r="E322" s="56" t="s">
        <v>287</v>
      </c>
      <c r="F322" s="56" t="s">
        <v>288</v>
      </c>
      <c r="G322" s="56" t="s">
        <v>289</v>
      </c>
    </row>
    <row r="323" spans="1:7" ht="15.75" customHeight="1">
      <c r="A323" s="9" t="n">
        <v>313</v>
      </c>
      <c r="B323" s="9" t="n">
        <v>277</v>
      </c>
      <c r="C323" s="9" t="n">
        <v>163</v>
      </c>
      <c r="D323" s="9" t="n">
        <v>163</v>
      </c>
      <c r="E323" s="56" t="s">
        <v>287</v>
      </c>
      <c r="F323" s="56" t="s">
        <v>288</v>
      </c>
      <c r="G323" s="56" t="s">
        <v>289</v>
      </c>
    </row>
    <row r="324" spans="1:7" ht="15.75" customHeight="1">
      <c r="A324" s="9" t="n">
        <v>314</v>
      </c>
      <c r="B324" s="9" t="n">
        <v>278</v>
      </c>
      <c r="C324" s="9" t="n">
        <v>163</v>
      </c>
      <c r="D324" s="9" t="n">
        <v>163</v>
      </c>
      <c r="E324" s="56" t="s">
        <v>287</v>
      </c>
      <c r="F324" s="56" t="s">
        <v>288</v>
      </c>
      <c r="G324" s="56" t="s">
        <v>289</v>
      </c>
    </row>
    <row r="325" spans="1:7" ht="15.75" customHeight="1">
      <c r="A325" s="9" t="n">
        <v>315</v>
      </c>
      <c r="B325" s="9" t="n">
        <v>279</v>
      </c>
      <c r="C325" s="9" t="n">
        <v>163</v>
      </c>
      <c r="D325" s="9" t="n">
        <v>163</v>
      </c>
      <c r="E325" s="56" t="s">
        <v>287</v>
      </c>
      <c r="F325" s="56" t="s">
        <v>288</v>
      </c>
      <c r="G325" s="56" t="s">
        <v>289</v>
      </c>
    </row>
    <row r="326" spans="1:7" ht="15.75" customHeight="1">
      <c r="A326" s="9" t="n">
        <v>316</v>
      </c>
      <c r="B326" s="9" t="n">
        <v>280</v>
      </c>
      <c r="C326" s="9" t="n">
        <v>163</v>
      </c>
      <c r="D326" s="9" t="n">
        <v>163</v>
      </c>
      <c r="E326" s="56" t="s">
        <v>287</v>
      </c>
      <c r="F326" s="56" t="s">
        <v>276</v>
      </c>
      <c r="G326" s="56" t="s">
        <v>289</v>
      </c>
    </row>
    <row r="327" spans="1:7" ht="15.75" customHeight="1">
      <c r="A327" s="9" t="n">
        <v>317</v>
      </c>
      <c r="B327" s="9" t="n">
        <v>281</v>
      </c>
      <c r="C327" s="9" t="n">
        <v>162</v>
      </c>
      <c r="D327" s="9" t="n">
        <v>162</v>
      </c>
      <c r="E327" s="56" t="s">
        <v>287</v>
      </c>
      <c r="F327" s="56" t="s">
        <v>288</v>
      </c>
      <c r="G327" s="56" t="s">
        <v>289</v>
      </c>
    </row>
    <row r="328" spans="1:7" ht="15.75" customHeight="1">
      <c r="A328" s="9" t="n">
        <v>318</v>
      </c>
      <c r="B328" s="9" t="n">
        <v>282</v>
      </c>
      <c r="C328" s="9" t="n">
        <v>162</v>
      </c>
      <c r="D328" s="9" t="n">
        <v>162</v>
      </c>
      <c r="E328" s="56" t="s">
        <v>277</v>
      </c>
      <c r="F328" s="56" t="s">
        <v>273</v>
      </c>
      <c r="G328" s="56" t="s">
        <v>273</v>
      </c>
    </row>
    <row r="329" spans="1:7" ht="15.75" customHeight="1">
      <c r="A329" s="9" t="n">
        <v>319</v>
      </c>
      <c r="B329" s="9" t="n">
        <v>283</v>
      </c>
      <c r="C329" s="9" t="n">
        <v>162</v>
      </c>
      <c r="D329" s="9" t="n">
        <v>162</v>
      </c>
      <c r="E329" s="56" t="s">
        <v>277</v>
      </c>
      <c r="F329" s="56" t="s">
        <v>273</v>
      </c>
      <c r="G329" s="56" t="s">
        <v>273</v>
      </c>
    </row>
    <row r="330" spans="1:7" ht="15.75" customHeight="1">
      <c r="A330" s="9" t="n">
        <v>320</v>
      </c>
      <c r="B330" s="9" t="n">
        <v>284</v>
      </c>
      <c r="C330" s="9" t="n">
        <v>162</v>
      </c>
      <c r="D330" s="9" t="n">
        <v>162</v>
      </c>
      <c r="E330" s="56" t="s">
        <v>287</v>
      </c>
      <c r="F330" s="56" t="s">
        <v>288</v>
      </c>
      <c r="G330" s="56" t="s">
        <v>289</v>
      </c>
    </row>
    <row r="331" spans="1:7" ht="15.75" customHeight="1">
      <c r="A331" s="9" t="n">
        <v>321</v>
      </c>
      <c r="B331" s="9" t="n">
        <v>285</v>
      </c>
      <c r="C331" s="9" t="n">
        <v>162</v>
      </c>
      <c r="D331" s="9" t="n">
        <v>162</v>
      </c>
      <c r="E331" s="56" t="s">
        <v>277</v>
      </c>
      <c r="F331" s="56" t="s">
        <v>273</v>
      </c>
      <c r="G331" s="56" t="s">
        <v>273</v>
      </c>
    </row>
    <row r="332" spans="1:7" ht="15.75" customHeight="1">
      <c r="A332" s="9" t="n">
        <v>322</v>
      </c>
      <c r="B332" s="9" t="n">
        <v>286</v>
      </c>
      <c r="C332" s="9" t="n">
        <v>162</v>
      </c>
      <c r="D332" s="9" t="n">
        <v>162</v>
      </c>
      <c r="E332" s="56" t="s">
        <v>287</v>
      </c>
      <c r="F332" s="56" t="s">
        <v>288</v>
      </c>
      <c r="G332" s="56" t="s">
        <v>289</v>
      </c>
    </row>
    <row r="333" spans="1:7" ht="15.75" customHeight="1">
      <c r="A333" s="9" t="n">
        <v>323</v>
      </c>
      <c r="B333" s="9" t="n">
        <v>287</v>
      </c>
      <c r="C333" s="9" t="n">
        <v>161</v>
      </c>
      <c r="D333" s="9" t="n">
        <v>161</v>
      </c>
      <c r="E333" s="56" t="s">
        <v>277</v>
      </c>
      <c r="F333" s="56" t="s">
        <v>273</v>
      </c>
      <c r="G333" s="56" t="s">
        <v>273</v>
      </c>
    </row>
    <row r="334" spans="1:7" ht="15.75" customHeight="1">
      <c r="A334" s="9" t="n">
        <v>324</v>
      </c>
      <c r="B334" s="9" t="n">
        <v>288</v>
      </c>
      <c r="C334" s="9" t="n">
        <v>160</v>
      </c>
      <c r="D334" s="9" t="n">
        <v>160</v>
      </c>
      <c r="E334" s="56" t="s">
        <v>287</v>
      </c>
      <c r="F334" s="56" t="s">
        <v>288</v>
      </c>
      <c r="G334" s="56" t="s">
        <v>289</v>
      </c>
    </row>
    <row r="335" spans="1:7" ht="15.75" customHeight="1">
      <c r="A335" s="9" t="n">
        <v>325</v>
      </c>
      <c r="B335" s="9" t="n">
        <v>289</v>
      </c>
      <c r="C335" s="9" t="n">
        <v>160</v>
      </c>
      <c r="D335" s="9" t="n">
        <v>160</v>
      </c>
      <c r="E335" s="56" t="s">
        <v>287</v>
      </c>
      <c r="F335" s="56" t="s">
        <v>288</v>
      </c>
      <c r="G335" s="56" t="s">
        <v>289</v>
      </c>
    </row>
    <row r="336" spans="1:7" ht="15.75" customHeight="1">
      <c r="A336" s="9" t="n">
        <v>326</v>
      </c>
      <c r="B336" s="9" t="n">
        <v>290</v>
      </c>
      <c r="C336" s="9" t="n">
        <v>160</v>
      </c>
      <c r="D336" s="9" t="n">
        <v>160</v>
      </c>
      <c r="E336" s="56" t="s">
        <v>287</v>
      </c>
      <c r="F336" s="56" t="s">
        <v>288</v>
      </c>
      <c r="G336" s="56" t="s">
        <v>289</v>
      </c>
    </row>
    <row r="337" spans="1:7" ht="15.75" customHeight="1">
      <c r="A337" s="9" t="n">
        <v>327</v>
      </c>
      <c r="B337" s="9" t="n">
        <v>291</v>
      </c>
      <c r="C337" s="9" t="n">
        <v>159</v>
      </c>
      <c r="D337" s="9" t="n">
        <v>159</v>
      </c>
      <c r="E337" s="56" t="s">
        <v>287</v>
      </c>
      <c r="F337" s="56" t="s">
        <v>288</v>
      </c>
      <c r="G337" s="56" t="s">
        <v>289</v>
      </c>
    </row>
    <row r="338" spans="1:7" ht="15.75" customHeight="1">
      <c r="A338" s="9" t="n">
        <v>328</v>
      </c>
      <c r="B338" s="9" t="n">
        <v>292</v>
      </c>
      <c r="C338" s="9" t="n">
        <v>159</v>
      </c>
      <c r="D338" s="9" t="n">
        <v>159</v>
      </c>
      <c r="E338" s="56" t="s">
        <v>287</v>
      </c>
      <c r="F338" s="56" t="s">
        <v>288</v>
      </c>
      <c r="G338" s="56" t="s">
        <v>289</v>
      </c>
    </row>
    <row r="339" spans="1:7" ht="15.75" customHeight="1">
      <c r="A339" s="9" t="n">
        <v>329</v>
      </c>
      <c r="B339" s="9" t="n">
        <v>293</v>
      </c>
      <c r="C339" s="9" t="n">
        <v>159</v>
      </c>
      <c r="D339" s="9" t="n">
        <v>159</v>
      </c>
      <c r="E339" s="56" t="s">
        <v>287</v>
      </c>
      <c r="F339" s="56" t="s">
        <v>288</v>
      </c>
      <c r="G339" s="56" t="s">
        <v>289</v>
      </c>
    </row>
    <row r="340" spans="1:7" ht="15.75" customHeight="1">
      <c r="A340" s="9" t="n">
        <v>330</v>
      </c>
      <c r="B340" s="9" t="n">
        <v>294</v>
      </c>
      <c r="C340" s="9" t="n">
        <v>158</v>
      </c>
      <c r="D340" s="9" t="n">
        <v>158</v>
      </c>
      <c r="E340" s="56" t="s">
        <v>287</v>
      </c>
      <c r="F340" s="56" t="s">
        <v>288</v>
      </c>
      <c r="G340" s="56" t="s">
        <v>289</v>
      </c>
    </row>
    <row r="341" spans="1:7" ht="15.75" customHeight="1">
      <c r="A341" s="9" t="n">
        <v>331</v>
      </c>
      <c r="B341" s="9" t="n">
        <v>295</v>
      </c>
      <c r="C341" s="9" t="n">
        <v>157</v>
      </c>
      <c r="D341" s="9" t="n">
        <v>157</v>
      </c>
      <c r="E341" s="56" t="s">
        <v>287</v>
      </c>
      <c r="F341" s="56" t="s">
        <v>288</v>
      </c>
      <c r="G341" s="56" t="s">
        <v>289</v>
      </c>
    </row>
    <row r="342" spans="1:7" ht="15.75" customHeight="1">
      <c r="A342" s="9" t="n">
        <v>332</v>
      </c>
      <c r="B342" s="9" t="n">
        <v>296</v>
      </c>
      <c r="C342" s="9" t="n">
        <v>157</v>
      </c>
      <c r="D342" s="9" t="n">
        <v>157</v>
      </c>
      <c r="E342" s="56" t="s">
        <v>287</v>
      </c>
      <c r="F342" s="56" t="s">
        <v>288</v>
      </c>
      <c r="G342" s="56" t="s">
        <v>289</v>
      </c>
    </row>
    <row r="343" spans="1:7" ht="15.75" customHeight="1">
      <c r="A343" s="9" t="n">
        <v>333</v>
      </c>
      <c r="B343" s="9" t="n">
        <v>297</v>
      </c>
      <c r="C343" s="9" t="n">
        <v>157</v>
      </c>
      <c r="D343" s="9" t="n">
        <v>157</v>
      </c>
      <c r="E343" s="56" t="s">
        <v>287</v>
      </c>
      <c r="F343" s="56" t="s">
        <v>288</v>
      </c>
      <c r="G343" s="56" t="s">
        <v>289</v>
      </c>
    </row>
    <row r="344" spans="1:7" ht="15.75" customHeight="1">
      <c r="A344" s="9" t="n">
        <v>334</v>
      </c>
      <c r="B344" s="9" t="n">
        <v>298</v>
      </c>
      <c r="C344" s="9" t="n">
        <v>156</v>
      </c>
      <c r="D344" s="9" t="n">
        <v>156</v>
      </c>
      <c r="E344" s="56" t="s">
        <v>287</v>
      </c>
      <c r="F344" s="56" t="s">
        <v>288</v>
      </c>
      <c r="G344" s="56" t="s">
        <v>289</v>
      </c>
    </row>
    <row r="345" spans="1:7" ht="15.75" customHeight="1">
      <c r="A345" s="9" t="n">
        <v>335</v>
      </c>
      <c r="B345" s="9" t="n">
        <v>299</v>
      </c>
      <c r="C345" s="9" t="n">
        <v>156</v>
      </c>
      <c r="D345" s="9" t="n">
        <v>156</v>
      </c>
      <c r="E345" s="56" t="s">
        <v>287</v>
      </c>
      <c r="F345" s="56" t="s">
        <v>288</v>
      </c>
      <c r="G345" s="56" t="s">
        <v>289</v>
      </c>
    </row>
    <row r="346" spans="1:7" ht="15.75" customHeight="1">
      <c r="A346" s="9" t="n">
        <v>336</v>
      </c>
      <c r="B346" s="9" t="n">
        <v>300</v>
      </c>
      <c r="C346" s="9" t="n">
        <v>155</v>
      </c>
      <c r="D346" s="9" t="n">
        <v>155</v>
      </c>
      <c r="E346" s="56" t="s">
        <v>287</v>
      </c>
      <c r="F346" s="56" t="s">
        <v>276</v>
      </c>
      <c r="G346" s="56" t="s">
        <v>289</v>
      </c>
    </row>
    <row r="347" spans="1:7" ht="15.75" customHeight="1">
      <c r="A347" s="9" t="n">
        <v>337</v>
      </c>
      <c r="B347" s="9" t="n">
        <v>301</v>
      </c>
      <c r="C347" s="9" t="n">
        <v>155</v>
      </c>
      <c r="D347" s="9" t="n">
        <v>155</v>
      </c>
      <c r="E347" s="56" t="s">
        <v>287</v>
      </c>
      <c r="F347" s="56" t="s">
        <v>288</v>
      </c>
      <c r="G347" s="56" t="s">
        <v>289</v>
      </c>
    </row>
    <row r="348" spans="1:7" ht="15.75" customHeight="1">
      <c r="A348" s="9" t="n">
        <v>338</v>
      </c>
      <c r="B348" s="9" t="n">
        <v>302</v>
      </c>
      <c r="C348" s="9" t="n">
        <v>155</v>
      </c>
      <c r="D348" s="9" t="n">
        <v>155</v>
      </c>
      <c r="E348" s="56" t="s">
        <v>287</v>
      </c>
      <c r="F348" s="56" t="s">
        <v>276</v>
      </c>
      <c r="G348" s="56" t="s">
        <v>289</v>
      </c>
    </row>
    <row r="349" spans="1:7" ht="15.75" customHeight="1">
      <c r="A349" s="9" t="n">
        <v>339</v>
      </c>
      <c r="B349" s="9" t="n">
        <v>303</v>
      </c>
      <c r="C349" s="9" t="n">
        <v>154</v>
      </c>
      <c r="D349" s="9" t="n">
        <v>154</v>
      </c>
      <c r="E349" s="56" t="s">
        <v>277</v>
      </c>
      <c r="F349" s="56" t="s">
        <v>273</v>
      </c>
      <c r="G349" s="56" t="s">
        <v>273</v>
      </c>
    </row>
    <row r="350" spans="1:7" ht="15.75" customHeight="1">
      <c r="A350" s="9" t="n">
        <v>340</v>
      </c>
      <c r="B350" s="9" t="n">
        <v>304</v>
      </c>
      <c r="C350" s="9" t="n">
        <v>153</v>
      </c>
      <c r="D350" s="9" t="n">
        <v>153</v>
      </c>
      <c r="E350" s="56" t="s">
        <v>287</v>
      </c>
      <c r="F350" s="56" t="s">
        <v>288</v>
      </c>
      <c r="G350" s="56" t="s">
        <v>289</v>
      </c>
    </row>
    <row r="351" spans="1:7" ht="15.75" customHeight="1">
      <c r="A351" s="9" t="n">
        <v>341</v>
      </c>
      <c r="B351" s="9" t="n">
        <v>305</v>
      </c>
      <c r="C351" s="9" t="n">
        <v>153</v>
      </c>
      <c r="D351" s="9" t="n">
        <v>153</v>
      </c>
      <c r="E351" s="56" t="s">
        <v>287</v>
      </c>
      <c r="F351" s="56" t="s">
        <v>288</v>
      </c>
      <c r="G351" s="56" t="s">
        <v>289</v>
      </c>
    </row>
    <row r="352" spans="1:7" ht="15.75" customHeight="1">
      <c r="A352" s="9" t="n">
        <v>342</v>
      </c>
      <c r="B352" s="9" t="n">
        <v>306</v>
      </c>
      <c r="C352" s="9" t="n">
        <v>153</v>
      </c>
      <c r="D352" s="9" t="n">
        <v>153</v>
      </c>
      <c r="E352" s="56" t="s">
        <v>287</v>
      </c>
      <c r="F352" s="56" t="s">
        <v>288</v>
      </c>
      <c r="G352" s="56" t="s">
        <v>289</v>
      </c>
    </row>
    <row r="353" spans="1:7" ht="15.75" customHeight="1">
      <c r="A353" s="9" t="n">
        <v>343</v>
      </c>
      <c r="B353" s="9" t="n">
        <v>307</v>
      </c>
      <c r="C353" s="9" t="n">
        <v>152</v>
      </c>
      <c r="D353" s="9" t="n">
        <v>152</v>
      </c>
      <c r="E353" s="56" t="s">
        <v>287</v>
      </c>
      <c r="F353" s="56" t="s">
        <v>276</v>
      </c>
      <c r="G353" s="56" t="s">
        <v>289</v>
      </c>
    </row>
    <row r="354" spans="1:7" ht="15.75" customHeight="1">
      <c r="A354" s="9" t="n">
        <v>344</v>
      </c>
      <c r="B354" s="9" t="n">
        <v>308</v>
      </c>
      <c r="C354" s="9" t="n">
        <v>152</v>
      </c>
      <c r="D354" s="9" t="n">
        <v>152</v>
      </c>
      <c r="E354" s="56" t="s">
        <v>287</v>
      </c>
      <c r="F354" s="56" t="s">
        <v>288</v>
      </c>
      <c r="G354" s="56" t="s">
        <v>289</v>
      </c>
    </row>
    <row r="355" spans="1:7" ht="15.75" customHeight="1">
      <c r="A355" s="9" t="n">
        <v>345</v>
      </c>
      <c r="B355" s="9" t="n">
        <v>309</v>
      </c>
      <c r="C355" s="9" t="n">
        <v>152</v>
      </c>
      <c r="D355" s="9" t="n">
        <v>152</v>
      </c>
      <c r="E355" s="56" t="s">
        <v>287</v>
      </c>
      <c r="F355" s="56" t="s">
        <v>288</v>
      </c>
      <c r="G355" s="56" t="s">
        <v>289</v>
      </c>
    </row>
    <row r="356" spans="1:7" ht="15.75" customHeight="1">
      <c r="A356" s="9" t="n">
        <v>346</v>
      </c>
      <c r="B356" s="9" t="n">
        <v>310</v>
      </c>
      <c r="C356" s="9" t="n">
        <v>152</v>
      </c>
      <c r="D356" s="9" t="n">
        <v>152</v>
      </c>
      <c r="E356" s="56" t="s">
        <v>287</v>
      </c>
      <c r="F356" s="56" t="s">
        <v>288</v>
      </c>
      <c r="G356" s="56" t="s">
        <v>289</v>
      </c>
    </row>
    <row r="357" spans="1:7" ht="15.75" customHeight="1">
      <c r="A357" s="9" t="n">
        <v>347</v>
      </c>
      <c r="B357" s="9" t="n">
        <v>311</v>
      </c>
      <c r="C357" s="9" t="n">
        <v>152</v>
      </c>
      <c r="D357" s="9" t="n">
        <v>152</v>
      </c>
      <c r="E357" s="56" t="s">
        <v>287</v>
      </c>
      <c r="F357" s="56" t="s">
        <v>288</v>
      </c>
      <c r="G357" s="56" t="s">
        <v>289</v>
      </c>
    </row>
    <row r="358" spans="1:7" ht="15.75" customHeight="1">
      <c r="A358" s="9" t="n">
        <v>348</v>
      </c>
      <c r="B358" s="9" t="n">
        <v>312</v>
      </c>
      <c r="C358" s="9" t="n">
        <v>150</v>
      </c>
      <c r="D358" s="9" t="n">
        <v>150</v>
      </c>
      <c r="E358" s="56" t="s">
        <v>287</v>
      </c>
      <c r="F358" s="56" t="s">
        <v>288</v>
      </c>
      <c r="G358" s="56" t="s">
        <v>289</v>
      </c>
    </row>
    <row r="359" spans="1:7" ht="15.75" customHeight="1">
      <c r="A359" s="9" t="n">
        <v>349</v>
      </c>
      <c r="B359" s="9" t="n">
        <v>313</v>
      </c>
      <c r="C359" s="9" t="n">
        <v>150</v>
      </c>
      <c r="D359" s="9" t="n">
        <v>150</v>
      </c>
      <c r="E359" s="56" t="s">
        <v>277</v>
      </c>
      <c r="F359" s="56" t="s">
        <v>273</v>
      </c>
      <c r="G359" s="56" t="s">
        <v>273</v>
      </c>
    </row>
  </sheetData>
  <mergeCells count="1">
    <mergeCell ref="A1:G1"/>
  </mergeCells>
  <printOptions>
    <extLst>
      <ext uri="smNativeData">
        <pm:pageFlags xmlns:pm="smNativeData" id="1789706791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89706791" l="56" r="56" t="56" b="56" borderId="0" fillId="0" vertical="0"/>
        <pm:footer xmlns:pm="smNativeData" id="1789706791" l="56" r="56" t="56" b="56" borderId="0" fillId="0" vertical="2"/>
      </ext>
    </extLst>
  </headerFooter>
  <extLst>
    <ext uri="smNativeData">
      <pm:sheetPrefs xmlns:pm="smNativeData" day="178970679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Right="0" summaryBelow="0"/>
  </sheetPr>
  <dimension ref="A1:CP96"/>
  <sheetViews>
    <sheetView tabSelected="1" view="normal" workbookViewId="0">
      <selection activeCell="A1" sqref="A1:P1"/>
    </sheetView>
  </sheetViews>
  <sheetFormatPr baseColWidth="11" defaultColWidth="12.630631" defaultRowHeight="15.75" customHeight="1"/>
  <sheetData>
    <row r="1" spans="1:94" ht="15.75" customHeight="1">
      <c r="A1" s="64" t="s">
        <v>293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</row>
    <row r="2" spans="1:94" ht="15.7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</row>
    <row r="3" spans="1:94" ht="15.75" customHeight="1">
      <c r="A3" s="56"/>
      <c r="B3" s="56" t="s">
        <v>294</v>
      </c>
      <c r="C3" s="56" t="s">
        <v>295</v>
      </c>
      <c r="D3" s="56" t="s">
        <v>296</v>
      </c>
      <c r="E3" s="56" t="s">
        <v>297</v>
      </c>
      <c r="F3" s="56" t="s">
        <v>298</v>
      </c>
      <c r="G3" s="56" t="s">
        <v>299</v>
      </c>
      <c r="H3" s="56" t="s">
        <v>300</v>
      </c>
      <c r="I3" s="56" t="s">
        <v>301</v>
      </c>
      <c r="J3" s="56" t="s">
        <v>302</v>
      </c>
      <c r="K3" s="56" t="s">
        <v>303</v>
      </c>
      <c r="L3" s="56" t="s">
        <v>304</v>
      </c>
      <c r="M3" s="56" t="s">
        <v>305</v>
      </c>
      <c r="N3" s="56" t="s">
        <v>306</v>
      </c>
      <c r="O3" s="56" t="s">
        <v>307</v>
      </c>
      <c r="P3" s="56" t="s">
        <v>308</v>
      </c>
      <c r="Q3" s="56" t="s">
        <v>309</v>
      </c>
      <c r="R3" s="56" t="s">
        <v>310</v>
      </c>
      <c r="S3" s="56" t="s">
        <v>311</v>
      </c>
      <c r="T3" s="56" t="s">
        <v>312</v>
      </c>
      <c r="U3" s="56" t="s">
        <v>313</v>
      </c>
      <c r="V3" s="56" t="s">
        <v>314</v>
      </c>
      <c r="W3" s="56" t="s">
        <v>315</v>
      </c>
      <c r="X3" s="56" t="s">
        <v>316</v>
      </c>
      <c r="Y3" s="56" t="s">
        <v>317</v>
      </c>
      <c r="Z3" s="56" t="s">
        <v>318</v>
      </c>
      <c r="AA3" s="56" t="s">
        <v>319</v>
      </c>
      <c r="AB3" s="56" t="s">
        <v>320</v>
      </c>
      <c r="AC3" s="56" t="s">
        <v>321</v>
      </c>
      <c r="AD3" s="56" t="s">
        <v>322</v>
      </c>
      <c r="AE3" s="56" t="s">
        <v>323</v>
      </c>
      <c r="AF3" s="56" t="s">
        <v>143</v>
      </c>
      <c r="AG3" s="56" t="s">
        <v>113</v>
      </c>
      <c r="AH3" s="56" t="s">
        <v>149</v>
      </c>
      <c r="AI3" s="56" t="s">
        <v>164</v>
      </c>
      <c r="AJ3" s="56" t="s">
        <v>166</v>
      </c>
      <c r="AK3" s="56" t="s">
        <v>146</v>
      </c>
      <c r="AL3" s="56" t="s">
        <v>128</v>
      </c>
      <c r="AM3" s="56" t="s">
        <v>156</v>
      </c>
      <c r="AN3" s="56" t="s">
        <v>140</v>
      </c>
      <c r="AO3" s="56" t="s">
        <v>138</v>
      </c>
      <c r="AP3" s="56" t="s">
        <v>130</v>
      </c>
      <c r="AQ3" s="56" t="s">
        <v>159</v>
      </c>
      <c r="AR3" s="56" t="s">
        <v>152</v>
      </c>
      <c r="AS3" s="56" t="s">
        <v>154</v>
      </c>
      <c r="AT3" s="56" t="s">
        <v>161</v>
      </c>
      <c r="AU3" s="56" t="s">
        <v>60</v>
      </c>
      <c r="AV3" s="56" t="s">
        <v>324</v>
      </c>
      <c r="AW3" s="56" t="s">
        <v>66</v>
      </c>
      <c r="AX3" s="56" t="s">
        <v>76</v>
      </c>
      <c r="AY3" s="56" t="s">
        <v>100</v>
      </c>
      <c r="AZ3" s="56" t="s">
        <v>123</v>
      </c>
      <c r="BA3" s="56" t="s">
        <v>84</v>
      </c>
      <c r="BB3" s="56" t="s">
        <v>91</v>
      </c>
      <c r="BC3" s="56" t="s">
        <v>108</v>
      </c>
      <c r="BD3" s="56" t="s">
        <v>71</v>
      </c>
      <c r="BE3" s="56" t="s">
        <v>82</v>
      </c>
      <c r="BF3" s="56" t="s">
        <v>102</v>
      </c>
      <c r="BG3" s="56" t="s">
        <v>73</v>
      </c>
      <c r="BH3" s="56" t="s">
        <v>116</v>
      </c>
      <c r="BI3" s="56" t="s">
        <v>111</v>
      </c>
      <c r="BJ3" s="56" t="s">
        <v>118</v>
      </c>
      <c r="BK3" s="56" t="s">
        <v>104</v>
      </c>
      <c r="BL3" s="56" t="s">
        <v>96</v>
      </c>
      <c r="BM3" s="56" t="s">
        <v>98</v>
      </c>
      <c r="BN3" s="56" t="s">
        <v>94</v>
      </c>
      <c r="BO3" s="56" t="s">
        <v>88</v>
      </c>
      <c r="BP3" s="56" t="s">
        <v>78</v>
      </c>
      <c r="BQ3" s="56" t="s">
        <v>132</v>
      </c>
      <c r="BR3" s="56" t="s">
        <v>126</v>
      </c>
      <c r="BS3" s="56" t="s">
        <v>134</v>
      </c>
      <c r="BT3" s="56" t="s">
        <v>106</v>
      </c>
      <c r="BU3" s="56" t="s">
        <v>120</v>
      </c>
      <c r="BV3" s="56" t="s">
        <v>325</v>
      </c>
      <c r="BW3" s="56" t="s">
        <v>326</v>
      </c>
      <c r="BX3" s="56" t="s">
        <v>327</v>
      </c>
      <c r="BY3" s="56" t="s">
        <v>328</v>
      </c>
      <c r="BZ3" s="56" t="s">
        <v>329</v>
      </c>
      <c r="CA3" s="56" t="s">
        <v>330</v>
      </c>
      <c r="CB3" s="56" t="s">
        <v>331</v>
      </c>
      <c r="CC3" s="56" t="s">
        <v>332</v>
      </c>
      <c r="CD3" s="56" t="s">
        <v>333</v>
      </c>
      <c r="CE3" s="56" t="s">
        <v>334</v>
      </c>
      <c r="CF3" s="56" t="s">
        <v>335</v>
      </c>
      <c r="CG3" s="56" t="s">
        <v>336</v>
      </c>
      <c r="CH3" s="56" t="s">
        <v>337</v>
      </c>
      <c r="CI3" s="56" t="s">
        <v>338</v>
      </c>
      <c r="CJ3" s="56" t="s">
        <v>339</v>
      </c>
      <c r="CK3" s="56" t="s">
        <v>340</v>
      </c>
      <c r="CL3" s="56" t="s">
        <v>341</v>
      </c>
      <c r="CM3" s="56" t="s">
        <v>342</v>
      </c>
      <c r="CN3" s="56" t="s">
        <v>343</v>
      </c>
      <c r="CO3" s="56" t="s">
        <v>344</v>
      </c>
      <c r="CP3" s="56" t="s">
        <v>345</v>
      </c>
    </row>
    <row r="4" spans="1:94" ht="15.75" customHeight="1">
      <c r="A4" s="56" t="s">
        <v>294</v>
      </c>
      <c r="B4" s="9" t="n">
        <v>0</v>
      </c>
      <c r="C4" s="9" t="s">
        <v>346</v>
      </c>
      <c r="D4" s="9" t="s">
        <v>346</v>
      </c>
      <c r="E4" s="9" t="s">
        <v>346</v>
      </c>
      <c r="F4" s="9" t="s">
        <v>346</v>
      </c>
      <c r="G4" s="9" t="s">
        <v>346</v>
      </c>
      <c r="H4" s="9" t="s">
        <v>346</v>
      </c>
      <c r="I4" s="9" t="s">
        <v>346</v>
      </c>
      <c r="J4" s="9" t="s">
        <v>346</v>
      </c>
      <c r="K4" s="9" t="s">
        <v>346</v>
      </c>
      <c r="L4" s="9" t="s">
        <v>347</v>
      </c>
      <c r="M4" s="9" t="s">
        <v>348</v>
      </c>
      <c r="N4" s="9" t="s">
        <v>349</v>
      </c>
      <c r="O4" s="9" t="s">
        <v>349</v>
      </c>
      <c r="P4" s="9" t="s">
        <v>349</v>
      </c>
      <c r="Q4" s="9" t="s">
        <v>349</v>
      </c>
      <c r="R4" s="9" t="s">
        <v>349</v>
      </c>
      <c r="S4" s="9" t="s">
        <v>349</v>
      </c>
      <c r="T4" s="9" t="s">
        <v>349</v>
      </c>
      <c r="U4" s="9" t="s">
        <v>349</v>
      </c>
      <c r="V4" s="9" t="s">
        <v>349</v>
      </c>
      <c r="W4" s="9" t="s">
        <v>349</v>
      </c>
      <c r="X4" s="9" t="s">
        <v>349</v>
      </c>
      <c r="Y4" s="9" t="s">
        <v>349</v>
      </c>
      <c r="Z4" s="9" t="s">
        <v>349</v>
      </c>
      <c r="AA4" s="9" t="s">
        <v>349</v>
      </c>
      <c r="AB4" s="9" t="s">
        <v>349</v>
      </c>
      <c r="AC4" s="9" t="s">
        <v>350</v>
      </c>
      <c r="AD4" s="9" t="s">
        <v>351</v>
      </c>
      <c r="AE4" s="9" t="s">
        <v>352</v>
      </c>
      <c r="AF4" s="9" t="s">
        <v>352</v>
      </c>
      <c r="AG4" s="9" t="s">
        <v>352</v>
      </c>
      <c r="AH4" s="9" t="s">
        <v>352</v>
      </c>
      <c r="AI4" s="9" t="s">
        <v>352</v>
      </c>
      <c r="AJ4" s="9" t="s">
        <v>352</v>
      </c>
      <c r="AK4" s="9" t="s">
        <v>352</v>
      </c>
      <c r="AL4" s="9" t="s">
        <v>352</v>
      </c>
      <c r="AM4" s="9" t="s">
        <v>352</v>
      </c>
      <c r="AN4" s="9" t="s">
        <v>352</v>
      </c>
      <c r="AO4" s="9" t="s">
        <v>353</v>
      </c>
      <c r="AP4" s="9" t="s">
        <v>354</v>
      </c>
      <c r="AQ4" s="9" t="s">
        <v>355</v>
      </c>
      <c r="AR4" s="9" t="s">
        <v>356</v>
      </c>
      <c r="AS4" s="9" t="s">
        <v>357</v>
      </c>
      <c r="AT4" s="9" t="s">
        <v>358</v>
      </c>
      <c r="AU4" s="9" t="s">
        <v>359</v>
      </c>
      <c r="AV4" s="9" t="s">
        <v>360</v>
      </c>
      <c r="AW4" s="9" t="s">
        <v>361</v>
      </c>
      <c r="AX4" s="9" t="s">
        <v>362</v>
      </c>
      <c r="AY4" s="9" t="s">
        <v>362</v>
      </c>
      <c r="AZ4" s="9" t="s">
        <v>363</v>
      </c>
      <c r="BA4" s="9" t="s">
        <v>364</v>
      </c>
      <c r="BB4" s="9" t="s">
        <v>365</v>
      </c>
      <c r="BC4" s="9" t="s">
        <v>366</v>
      </c>
      <c r="BD4" s="9" t="s">
        <v>367</v>
      </c>
      <c r="BE4" s="9" t="s">
        <v>367</v>
      </c>
      <c r="BF4" s="9" t="s">
        <v>368</v>
      </c>
      <c r="BG4" s="9" t="s">
        <v>369</v>
      </c>
      <c r="BH4" s="9" t="s">
        <v>369</v>
      </c>
      <c r="BI4" s="9" t="s">
        <v>369</v>
      </c>
      <c r="BJ4" s="9" t="s">
        <v>369</v>
      </c>
      <c r="BK4" s="9" t="s">
        <v>369</v>
      </c>
      <c r="BL4" s="9" t="s">
        <v>369</v>
      </c>
      <c r="BM4" s="9" t="s">
        <v>369</v>
      </c>
      <c r="BN4" s="9" t="s">
        <v>369</v>
      </c>
      <c r="BO4" s="9" t="s">
        <v>369</v>
      </c>
      <c r="BP4" s="9" t="s">
        <v>369</v>
      </c>
      <c r="BQ4" s="9" t="s">
        <v>370</v>
      </c>
      <c r="BR4" s="9" t="s">
        <v>371</v>
      </c>
      <c r="BS4" s="9" t="s">
        <v>372</v>
      </c>
      <c r="BT4" s="9" t="s">
        <v>373</v>
      </c>
      <c r="BU4" s="9" t="s">
        <v>374</v>
      </c>
      <c r="BV4" s="9" t="s">
        <v>375</v>
      </c>
      <c r="BW4" s="9" t="s">
        <v>376</v>
      </c>
      <c r="BX4" s="9" t="n">
        <v>0</v>
      </c>
      <c r="BY4" s="9" t="n">
        <v>0</v>
      </c>
      <c r="BZ4" s="9" t="n">
        <v>0</v>
      </c>
      <c r="CA4" s="9" t="n">
        <v>0</v>
      </c>
      <c r="CB4" s="9" t="n">
        <v>0</v>
      </c>
      <c r="CC4" s="9" t="n">
        <v>0</v>
      </c>
      <c r="CD4" s="9" t="n">
        <v>0</v>
      </c>
      <c r="CE4" s="9" t="n">
        <v>0</v>
      </c>
      <c r="CF4" s="9" t="n">
        <v>0</v>
      </c>
      <c r="CG4" s="9" t="n">
        <v>0</v>
      </c>
      <c r="CH4" s="9" t="n">
        <v>0</v>
      </c>
      <c r="CI4" s="9" t="n">
        <v>0</v>
      </c>
      <c r="CJ4" s="9" t="n">
        <v>0</v>
      </c>
      <c r="CK4" s="9" t="n">
        <v>0</v>
      </c>
      <c r="CL4" s="9" t="n">
        <v>0</v>
      </c>
      <c r="CM4" s="9" t="n">
        <v>0</v>
      </c>
      <c r="CN4" s="9" t="n">
        <v>0</v>
      </c>
      <c r="CO4" s="9" t="n">
        <v>0</v>
      </c>
      <c r="CP4" s="9" t="n">
        <v>0</v>
      </c>
    </row>
    <row r="5" spans="1:94" ht="15.75" customHeight="1">
      <c r="A5" s="56" t="s">
        <v>295</v>
      </c>
      <c r="B5" s="9" t="s">
        <v>346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s">
        <v>376</v>
      </c>
      <c r="L5" s="9" t="s">
        <v>377</v>
      </c>
      <c r="M5" s="9" t="s">
        <v>378</v>
      </c>
      <c r="N5" s="9" t="s">
        <v>379</v>
      </c>
      <c r="O5" s="9" t="s">
        <v>379</v>
      </c>
      <c r="P5" s="9" t="s">
        <v>379</v>
      </c>
      <c r="Q5" s="9" t="s">
        <v>379</v>
      </c>
      <c r="R5" s="9" t="s">
        <v>379</v>
      </c>
      <c r="S5" s="9" t="s">
        <v>379</v>
      </c>
      <c r="T5" s="9" t="s">
        <v>379</v>
      </c>
      <c r="U5" s="9" t="s">
        <v>379</v>
      </c>
      <c r="V5" s="9" t="s">
        <v>379</v>
      </c>
      <c r="W5" s="9" t="s">
        <v>379</v>
      </c>
      <c r="X5" s="9" t="s">
        <v>379</v>
      </c>
      <c r="Y5" s="9" t="s">
        <v>379</v>
      </c>
      <c r="Z5" s="9" t="s">
        <v>379</v>
      </c>
      <c r="AA5" s="9" t="s">
        <v>379</v>
      </c>
      <c r="AB5" s="9" t="s">
        <v>379</v>
      </c>
      <c r="AC5" s="9" t="s">
        <v>380</v>
      </c>
      <c r="AD5" s="9" t="s">
        <v>381</v>
      </c>
      <c r="AE5" s="9" t="s">
        <v>382</v>
      </c>
      <c r="AF5" s="9" t="s">
        <v>382</v>
      </c>
      <c r="AG5" s="9" t="s">
        <v>382</v>
      </c>
      <c r="AH5" s="9" t="s">
        <v>382</v>
      </c>
      <c r="AI5" s="9" t="s">
        <v>382</v>
      </c>
      <c r="AJ5" s="9" t="s">
        <v>382</v>
      </c>
      <c r="AK5" s="9" t="s">
        <v>382</v>
      </c>
      <c r="AL5" s="9" t="s">
        <v>382</v>
      </c>
      <c r="AM5" s="9" t="s">
        <v>382</v>
      </c>
      <c r="AN5" s="9" t="s">
        <v>382</v>
      </c>
      <c r="AO5" s="9" t="s">
        <v>383</v>
      </c>
      <c r="AP5" s="9" t="s">
        <v>384</v>
      </c>
      <c r="AQ5" s="9" t="s">
        <v>385</v>
      </c>
      <c r="AR5" s="9" t="s">
        <v>386</v>
      </c>
      <c r="AS5" s="9" t="s">
        <v>387</v>
      </c>
      <c r="AT5" s="9" t="s">
        <v>388</v>
      </c>
      <c r="AU5" s="9" t="s">
        <v>389</v>
      </c>
      <c r="AV5" s="9" t="s">
        <v>390</v>
      </c>
      <c r="AW5" s="9" t="s">
        <v>391</v>
      </c>
      <c r="AX5" s="9" t="s">
        <v>392</v>
      </c>
      <c r="AY5" s="9" t="s">
        <v>392</v>
      </c>
      <c r="AZ5" s="9" t="s">
        <v>393</v>
      </c>
      <c r="BA5" s="9" t="s">
        <v>394</v>
      </c>
      <c r="BB5" s="9" t="s">
        <v>395</v>
      </c>
      <c r="BC5" s="9" t="s">
        <v>396</v>
      </c>
      <c r="BD5" s="9" t="s">
        <v>397</v>
      </c>
      <c r="BE5" s="9" t="s">
        <v>397</v>
      </c>
      <c r="BF5" s="9" t="s">
        <v>398</v>
      </c>
      <c r="BG5" s="9" t="s">
        <v>399</v>
      </c>
      <c r="BH5" s="9" t="s">
        <v>399</v>
      </c>
      <c r="BI5" s="9" t="s">
        <v>399</v>
      </c>
      <c r="BJ5" s="9" t="s">
        <v>399</v>
      </c>
      <c r="BK5" s="9" t="s">
        <v>399</v>
      </c>
      <c r="BL5" s="9" t="s">
        <v>399</v>
      </c>
      <c r="BM5" s="9" t="s">
        <v>399</v>
      </c>
      <c r="BN5" s="9" t="s">
        <v>399</v>
      </c>
      <c r="BO5" s="9" t="s">
        <v>399</v>
      </c>
      <c r="BP5" s="9" t="s">
        <v>399</v>
      </c>
      <c r="BQ5" s="9" t="s">
        <v>400</v>
      </c>
      <c r="BR5" s="9" t="s">
        <v>401</v>
      </c>
      <c r="BS5" s="9" t="s">
        <v>402</v>
      </c>
      <c r="BT5" s="9" t="s">
        <v>403</v>
      </c>
      <c r="BU5" s="9" t="s">
        <v>404</v>
      </c>
      <c r="BV5" s="9" t="s">
        <v>405</v>
      </c>
      <c r="BW5" s="9" t="s">
        <v>346</v>
      </c>
      <c r="BX5" s="9" t="s">
        <v>346</v>
      </c>
      <c r="BY5" s="9" t="s">
        <v>346</v>
      </c>
      <c r="BZ5" s="9" t="s">
        <v>346</v>
      </c>
      <c r="CA5" s="9" t="s">
        <v>346</v>
      </c>
      <c r="CB5" s="9" t="s">
        <v>346</v>
      </c>
      <c r="CC5" s="9" t="s">
        <v>346</v>
      </c>
      <c r="CD5" s="9" t="s">
        <v>346</v>
      </c>
      <c r="CE5" s="9" t="s">
        <v>346</v>
      </c>
      <c r="CF5" s="9" t="s">
        <v>346</v>
      </c>
      <c r="CG5" s="9" t="s">
        <v>346</v>
      </c>
      <c r="CH5" s="9" t="s">
        <v>346</v>
      </c>
      <c r="CI5" s="9" t="s">
        <v>346</v>
      </c>
      <c r="CJ5" s="9" t="s">
        <v>346</v>
      </c>
      <c r="CK5" s="9" t="s">
        <v>346</v>
      </c>
      <c r="CL5" s="9" t="s">
        <v>346</v>
      </c>
      <c r="CM5" s="9" t="s">
        <v>346</v>
      </c>
      <c r="CN5" s="9" t="s">
        <v>346</v>
      </c>
      <c r="CO5" s="9" t="s">
        <v>346</v>
      </c>
      <c r="CP5" s="9" t="s">
        <v>346</v>
      </c>
    </row>
    <row r="6" spans="1:94" ht="15.75" customHeight="1">
      <c r="A6" s="56" t="s">
        <v>296</v>
      </c>
      <c r="B6" s="9" t="s">
        <v>346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s">
        <v>376</v>
      </c>
      <c r="L6" s="9" t="s">
        <v>377</v>
      </c>
      <c r="M6" s="9" t="s">
        <v>378</v>
      </c>
      <c r="N6" s="9" t="s">
        <v>379</v>
      </c>
      <c r="O6" s="9" t="s">
        <v>379</v>
      </c>
      <c r="P6" s="9" t="s">
        <v>379</v>
      </c>
      <c r="Q6" s="9" t="s">
        <v>379</v>
      </c>
      <c r="R6" s="9" t="s">
        <v>379</v>
      </c>
      <c r="S6" s="9" t="s">
        <v>379</v>
      </c>
      <c r="T6" s="9" t="s">
        <v>379</v>
      </c>
      <c r="U6" s="9" t="s">
        <v>379</v>
      </c>
      <c r="V6" s="9" t="s">
        <v>379</v>
      </c>
      <c r="W6" s="9" t="s">
        <v>379</v>
      </c>
      <c r="X6" s="9" t="s">
        <v>379</v>
      </c>
      <c r="Y6" s="9" t="s">
        <v>379</v>
      </c>
      <c r="Z6" s="9" t="s">
        <v>379</v>
      </c>
      <c r="AA6" s="9" t="s">
        <v>379</v>
      </c>
      <c r="AB6" s="9" t="s">
        <v>379</v>
      </c>
      <c r="AC6" s="9" t="s">
        <v>380</v>
      </c>
      <c r="AD6" s="9" t="s">
        <v>381</v>
      </c>
      <c r="AE6" s="9" t="s">
        <v>382</v>
      </c>
      <c r="AF6" s="9" t="s">
        <v>382</v>
      </c>
      <c r="AG6" s="9" t="s">
        <v>382</v>
      </c>
      <c r="AH6" s="9" t="s">
        <v>382</v>
      </c>
      <c r="AI6" s="9" t="s">
        <v>382</v>
      </c>
      <c r="AJ6" s="9" t="s">
        <v>382</v>
      </c>
      <c r="AK6" s="9" t="s">
        <v>382</v>
      </c>
      <c r="AL6" s="9" t="s">
        <v>382</v>
      </c>
      <c r="AM6" s="9" t="s">
        <v>382</v>
      </c>
      <c r="AN6" s="9" t="s">
        <v>382</v>
      </c>
      <c r="AO6" s="9" t="s">
        <v>383</v>
      </c>
      <c r="AP6" s="9" t="s">
        <v>384</v>
      </c>
      <c r="AQ6" s="9" t="s">
        <v>385</v>
      </c>
      <c r="AR6" s="9" t="s">
        <v>386</v>
      </c>
      <c r="AS6" s="9" t="s">
        <v>387</v>
      </c>
      <c r="AT6" s="9" t="s">
        <v>388</v>
      </c>
      <c r="AU6" s="9" t="s">
        <v>389</v>
      </c>
      <c r="AV6" s="9" t="s">
        <v>390</v>
      </c>
      <c r="AW6" s="9" t="s">
        <v>391</v>
      </c>
      <c r="AX6" s="9" t="s">
        <v>392</v>
      </c>
      <c r="AY6" s="9" t="s">
        <v>392</v>
      </c>
      <c r="AZ6" s="9" t="s">
        <v>393</v>
      </c>
      <c r="BA6" s="9" t="s">
        <v>394</v>
      </c>
      <c r="BB6" s="9" t="s">
        <v>395</v>
      </c>
      <c r="BC6" s="9" t="s">
        <v>396</v>
      </c>
      <c r="BD6" s="9" t="s">
        <v>397</v>
      </c>
      <c r="BE6" s="9" t="s">
        <v>397</v>
      </c>
      <c r="BF6" s="9" t="s">
        <v>398</v>
      </c>
      <c r="BG6" s="9" t="s">
        <v>399</v>
      </c>
      <c r="BH6" s="9" t="s">
        <v>399</v>
      </c>
      <c r="BI6" s="9" t="s">
        <v>399</v>
      </c>
      <c r="BJ6" s="9" t="s">
        <v>399</v>
      </c>
      <c r="BK6" s="9" t="s">
        <v>399</v>
      </c>
      <c r="BL6" s="9" t="s">
        <v>399</v>
      </c>
      <c r="BM6" s="9" t="s">
        <v>399</v>
      </c>
      <c r="BN6" s="9" t="s">
        <v>399</v>
      </c>
      <c r="BO6" s="9" t="s">
        <v>399</v>
      </c>
      <c r="BP6" s="9" t="s">
        <v>399</v>
      </c>
      <c r="BQ6" s="9" t="s">
        <v>400</v>
      </c>
      <c r="BR6" s="9" t="s">
        <v>401</v>
      </c>
      <c r="BS6" s="9" t="s">
        <v>402</v>
      </c>
      <c r="BT6" s="9" t="s">
        <v>403</v>
      </c>
      <c r="BU6" s="9" t="s">
        <v>404</v>
      </c>
      <c r="BV6" s="9" t="s">
        <v>405</v>
      </c>
      <c r="BW6" s="9" t="s">
        <v>346</v>
      </c>
      <c r="BX6" s="9" t="s">
        <v>346</v>
      </c>
      <c r="BY6" s="9" t="s">
        <v>346</v>
      </c>
      <c r="BZ6" s="9" t="s">
        <v>346</v>
      </c>
      <c r="CA6" s="9" t="s">
        <v>346</v>
      </c>
      <c r="CB6" s="9" t="s">
        <v>346</v>
      </c>
      <c r="CC6" s="9" t="s">
        <v>346</v>
      </c>
      <c r="CD6" s="9" t="s">
        <v>346</v>
      </c>
      <c r="CE6" s="9" t="s">
        <v>346</v>
      </c>
      <c r="CF6" s="9" t="s">
        <v>346</v>
      </c>
      <c r="CG6" s="9" t="s">
        <v>346</v>
      </c>
      <c r="CH6" s="9" t="s">
        <v>346</v>
      </c>
      <c r="CI6" s="9" t="s">
        <v>346</v>
      </c>
      <c r="CJ6" s="9" t="s">
        <v>346</v>
      </c>
      <c r="CK6" s="9" t="s">
        <v>346</v>
      </c>
      <c r="CL6" s="9" t="s">
        <v>346</v>
      </c>
      <c r="CM6" s="9" t="s">
        <v>346</v>
      </c>
      <c r="CN6" s="9" t="s">
        <v>346</v>
      </c>
      <c r="CO6" s="9" t="s">
        <v>346</v>
      </c>
      <c r="CP6" s="9" t="s">
        <v>346</v>
      </c>
    </row>
    <row r="7" spans="1:94" ht="15.75" customHeight="1">
      <c r="A7" s="56" t="s">
        <v>297</v>
      </c>
      <c r="B7" s="9" t="s">
        <v>346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s">
        <v>376</v>
      </c>
      <c r="L7" s="9" t="s">
        <v>377</v>
      </c>
      <c r="M7" s="9" t="s">
        <v>378</v>
      </c>
      <c r="N7" s="9" t="s">
        <v>379</v>
      </c>
      <c r="O7" s="9" t="s">
        <v>379</v>
      </c>
      <c r="P7" s="9" t="s">
        <v>379</v>
      </c>
      <c r="Q7" s="9" t="s">
        <v>379</v>
      </c>
      <c r="R7" s="9" t="s">
        <v>379</v>
      </c>
      <c r="S7" s="9" t="s">
        <v>379</v>
      </c>
      <c r="T7" s="9" t="s">
        <v>379</v>
      </c>
      <c r="U7" s="9" t="s">
        <v>379</v>
      </c>
      <c r="V7" s="9" t="s">
        <v>379</v>
      </c>
      <c r="W7" s="9" t="s">
        <v>379</v>
      </c>
      <c r="X7" s="9" t="s">
        <v>379</v>
      </c>
      <c r="Y7" s="9" t="s">
        <v>379</v>
      </c>
      <c r="Z7" s="9" t="s">
        <v>379</v>
      </c>
      <c r="AA7" s="9" t="s">
        <v>379</v>
      </c>
      <c r="AB7" s="9" t="s">
        <v>379</v>
      </c>
      <c r="AC7" s="9" t="s">
        <v>380</v>
      </c>
      <c r="AD7" s="9" t="s">
        <v>381</v>
      </c>
      <c r="AE7" s="9" t="s">
        <v>382</v>
      </c>
      <c r="AF7" s="9" t="s">
        <v>382</v>
      </c>
      <c r="AG7" s="9" t="s">
        <v>382</v>
      </c>
      <c r="AH7" s="9" t="s">
        <v>382</v>
      </c>
      <c r="AI7" s="9" t="s">
        <v>382</v>
      </c>
      <c r="AJ7" s="9" t="s">
        <v>382</v>
      </c>
      <c r="AK7" s="9" t="s">
        <v>382</v>
      </c>
      <c r="AL7" s="9" t="s">
        <v>382</v>
      </c>
      <c r="AM7" s="9" t="s">
        <v>382</v>
      </c>
      <c r="AN7" s="9" t="s">
        <v>382</v>
      </c>
      <c r="AO7" s="9" t="s">
        <v>383</v>
      </c>
      <c r="AP7" s="9" t="s">
        <v>384</v>
      </c>
      <c r="AQ7" s="9" t="s">
        <v>385</v>
      </c>
      <c r="AR7" s="9" t="s">
        <v>386</v>
      </c>
      <c r="AS7" s="9" t="s">
        <v>387</v>
      </c>
      <c r="AT7" s="9" t="s">
        <v>388</v>
      </c>
      <c r="AU7" s="9" t="s">
        <v>389</v>
      </c>
      <c r="AV7" s="9" t="s">
        <v>390</v>
      </c>
      <c r="AW7" s="9" t="s">
        <v>391</v>
      </c>
      <c r="AX7" s="9" t="s">
        <v>392</v>
      </c>
      <c r="AY7" s="9" t="s">
        <v>392</v>
      </c>
      <c r="AZ7" s="9" t="s">
        <v>393</v>
      </c>
      <c r="BA7" s="9" t="s">
        <v>394</v>
      </c>
      <c r="BB7" s="9" t="s">
        <v>395</v>
      </c>
      <c r="BC7" s="9" t="s">
        <v>396</v>
      </c>
      <c r="BD7" s="9" t="s">
        <v>397</v>
      </c>
      <c r="BE7" s="9" t="s">
        <v>397</v>
      </c>
      <c r="BF7" s="9" t="s">
        <v>398</v>
      </c>
      <c r="BG7" s="9" t="s">
        <v>399</v>
      </c>
      <c r="BH7" s="9" t="s">
        <v>399</v>
      </c>
      <c r="BI7" s="9" t="s">
        <v>399</v>
      </c>
      <c r="BJ7" s="9" t="s">
        <v>399</v>
      </c>
      <c r="BK7" s="9" t="s">
        <v>399</v>
      </c>
      <c r="BL7" s="9" t="s">
        <v>399</v>
      </c>
      <c r="BM7" s="9" t="s">
        <v>399</v>
      </c>
      <c r="BN7" s="9" t="s">
        <v>399</v>
      </c>
      <c r="BO7" s="9" t="s">
        <v>399</v>
      </c>
      <c r="BP7" s="9" t="s">
        <v>399</v>
      </c>
      <c r="BQ7" s="9" t="s">
        <v>400</v>
      </c>
      <c r="BR7" s="9" t="s">
        <v>401</v>
      </c>
      <c r="BS7" s="9" t="s">
        <v>402</v>
      </c>
      <c r="BT7" s="9" t="s">
        <v>403</v>
      </c>
      <c r="BU7" s="9" t="s">
        <v>404</v>
      </c>
      <c r="BV7" s="9" t="s">
        <v>405</v>
      </c>
      <c r="BW7" s="9" t="s">
        <v>346</v>
      </c>
      <c r="BX7" s="9" t="s">
        <v>346</v>
      </c>
      <c r="BY7" s="9" t="s">
        <v>346</v>
      </c>
      <c r="BZ7" s="9" t="s">
        <v>346</v>
      </c>
      <c r="CA7" s="9" t="s">
        <v>346</v>
      </c>
      <c r="CB7" s="9" t="s">
        <v>346</v>
      </c>
      <c r="CC7" s="9" t="s">
        <v>346</v>
      </c>
      <c r="CD7" s="9" t="s">
        <v>346</v>
      </c>
      <c r="CE7" s="9" t="s">
        <v>346</v>
      </c>
      <c r="CF7" s="9" t="s">
        <v>346</v>
      </c>
      <c r="CG7" s="9" t="s">
        <v>346</v>
      </c>
      <c r="CH7" s="9" t="s">
        <v>346</v>
      </c>
      <c r="CI7" s="9" t="s">
        <v>346</v>
      </c>
      <c r="CJ7" s="9" t="s">
        <v>346</v>
      </c>
      <c r="CK7" s="9" t="s">
        <v>346</v>
      </c>
      <c r="CL7" s="9" t="s">
        <v>346</v>
      </c>
      <c r="CM7" s="9" t="s">
        <v>346</v>
      </c>
      <c r="CN7" s="9" t="s">
        <v>346</v>
      </c>
      <c r="CO7" s="9" t="s">
        <v>346</v>
      </c>
      <c r="CP7" s="9" t="s">
        <v>346</v>
      </c>
    </row>
    <row r="8" spans="1:94" ht="15.75" customHeight="1">
      <c r="A8" s="56" t="s">
        <v>298</v>
      </c>
      <c r="B8" s="9" t="s">
        <v>346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s">
        <v>376</v>
      </c>
      <c r="L8" s="9" t="s">
        <v>377</v>
      </c>
      <c r="M8" s="9" t="s">
        <v>378</v>
      </c>
      <c r="N8" s="9" t="s">
        <v>379</v>
      </c>
      <c r="O8" s="9" t="s">
        <v>379</v>
      </c>
      <c r="P8" s="9" t="s">
        <v>379</v>
      </c>
      <c r="Q8" s="9" t="s">
        <v>379</v>
      </c>
      <c r="R8" s="9" t="s">
        <v>379</v>
      </c>
      <c r="S8" s="9" t="s">
        <v>379</v>
      </c>
      <c r="T8" s="9" t="s">
        <v>379</v>
      </c>
      <c r="U8" s="9" t="s">
        <v>379</v>
      </c>
      <c r="V8" s="9" t="s">
        <v>379</v>
      </c>
      <c r="W8" s="9" t="s">
        <v>379</v>
      </c>
      <c r="X8" s="9" t="s">
        <v>379</v>
      </c>
      <c r="Y8" s="9" t="s">
        <v>379</v>
      </c>
      <c r="Z8" s="9" t="s">
        <v>379</v>
      </c>
      <c r="AA8" s="9" t="s">
        <v>379</v>
      </c>
      <c r="AB8" s="9" t="s">
        <v>379</v>
      </c>
      <c r="AC8" s="9" t="s">
        <v>380</v>
      </c>
      <c r="AD8" s="9" t="s">
        <v>381</v>
      </c>
      <c r="AE8" s="9" t="s">
        <v>382</v>
      </c>
      <c r="AF8" s="9" t="s">
        <v>382</v>
      </c>
      <c r="AG8" s="9" t="s">
        <v>382</v>
      </c>
      <c r="AH8" s="9" t="s">
        <v>382</v>
      </c>
      <c r="AI8" s="9" t="s">
        <v>382</v>
      </c>
      <c r="AJ8" s="9" t="s">
        <v>382</v>
      </c>
      <c r="AK8" s="9" t="s">
        <v>382</v>
      </c>
      <c r="AL8" s="9" t="s">
        <v>382</v>
      </c>
      <c r="AM8" s="9" t="s">
        <v>382</v>
      </c>
      <c r="AN8" s="9" t="s">
        <v>382</v>
      </c>
      <c r="AO8" s="9" t="s">
        <v>383</v>
      </c>
      <c r="AP8" s="9" t="s">
        <v>384</v>
      </c>
      <c r="AQ8" s="9" t="s">
        <v>385</v>
      </c>
      <c r="AR8" s="9" t="s">
        <v>386</v>
      </c>
      <c r="AS8" s="9" t="s">
        <v>387</v>
      </c>
      <c r="AT8" s="9" t="s">
        <v>388</v>
      </c>
      <c r="AU8" s="9" t="s">
        <v>389</v>
      </c>
      <c r="AV8" s="9" t="s">
        <v>390</v>
      </c>
      <c r="AW8" s="9" t="s">
        <v>391</v>
      </c>
      <c r="AX8" s="9" t="s">
        <v>392</v>
      </c>
      <c r="AY8" s="9" t="s">
        <v>392</v>
      </c>
      <c r="AZ8" s="9" t="s">
        <v>393</v>
      </c>
      <c r="BA8" s="9" t="s">
        <v>394</v>
      </c>
      <c r="BB8" s="9" t="s">
        <v>395</v>
      </c>
      <c r="BC8" s="9" t="s">
        <v>396</v>
      </c>
      <c r="BD8" s="9" t="s">
        <v>397</v>
      </c>
      <c r="BE8" s="9" t="s">
        <v>397</v>
      </c>
      <c r="BF8" s="9" t="s">
        <v>398</v>
      </c>
      <c r="BG8" s="9" t="s">
        <v>399</v>
      </c>
      <c r="BH8" s="9" t="s">
        <v>399</v>
      </c>
      <c r="BI8" s="9" t="s">
        <v>399</v>
      </c>
      <c r="BJ8" s="9" t="s">
        <v>399</v>
      </c>
      <c r="BK8" s="9" t="s">
        <v>399</v>
      </c>
      <c r="BL8" s="9" t="s">
        <v>399</v>
      </c>
      <c r="BM8" s="9" t="s">
        <v>399</v>
      </c>
      <c r="BN8" s="9" t="s">
        <v>399</v>
      </c>
      <c r="BO8" s="9" t="s">
        <v>399</v>
      </c>
      <c r="BP8" s="9" t="s">
        <v>399</v>
      </c>
      <c r="BQ8" s="9" t="s">
        <v>400</v>
      </c>
      <c r="BR8" s="9" t="s">
        <v>401</v>
      </c>
      <c r="BS8" s="9" t="s">
        <v>402</v>
      </c>
      <c r="BT8" s="9" t="s">
        <v>403</v>
      </c>
      <c r="BU8" s="9" t="s">
        <v>404</v>
      </c>
      <c r="BV8" s="9" t="s">
        <v>405</v>
      </c>
      <c r="BW8" s="9" t="s">
        <v>346</v>
      </c>
      <c r="BX8" s="9" t="s">
        <v>346</v>
      </c>
      <c r="BY8" s="9" t="s">
        <v>346</v>
      </c>
      <c r="BZ8" s="9" t="s">
        <v>346</v>
      </c>
      <c r="CA8" s="9" t="s">
        <v>346</v>
      </c>
      <c r="CB8" s="9" t="s">
        <v>346</v>
      </c>
      <c r="CC8" s="9" t="s">
        <v>346</v>
      </c>
      <c r="CD8" s="9" t="s">
        <v>346</v>
      </c>
      <c r="CE8" s="9" t="s">
        <v>346</v>
      </c>
      <c r="CF8" s="9" t="s">
        <v>346</v>
      </c>
      <c r="CG8" s="9" t="s">
        <v>346</v>
      </c>
      <c r="CH8" s="9" t="s">
        <v>346</v>
      </c>
      <c r="CI8" s="9" t="s">
        <v>346</v>
      </c>
      <c r="CJ8" s="9" t="s">
        <v>346</v>
      </c>
      <c r="CK8" s="9" t="s">
        <v>346</v>
      </c>
      <c r="CL8" s="9" t="s">
        <v>346</v>
      </c>
      <c r="CM8" s="9" t="s">
        <v>346</v>
      </c>
      <c r="CN8" s="9" t="s">
        <v>346</v>
      </c>
      <c r="CO8" s="9" t="s">
        <v>346</v>
      </c>
      <c r="CP8" s="9" t="s">
        <v>346</v>
      </c>
    </row>
    <row r="9" spans="1:94" ht="15.75" customHeight="1">
      <c r="A9" s="56" t="s">
        <v>299</v>
      </c>
      <c r="B9" s="9" t="s">
        <v>346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s">
        <v>376</v>
      </c>
      <c r="L9" s="9" t="s">
        <v>377</v>
      </c>
      <c r="M9" s="9" t="s">
        <v>378</v>
      </c>
      <c r="N9" s="9" t="s">
        <v>379</v>
      </c>
      <c r="O9" s="9" t="s">
        <v>379</v>
      </c>
      <c r="P9" s="9" t="s">
        <v>379</v>
      </c>
      <c r="Q9" s="9" t="s">
        <v>379</v>
      </c>
      <c r="R9" s="9" t="s">
        <v>379</v>
      </c>
      <c r="S9" s="9" t="s">
        <v>379</v>
      </c>
      <c r="T9" s="9" t="s">
        <v>379</v>
      </c>
      <c r="U9" s="9" t="s">
        <v>379</v>
      </c>
      <c r="V9" s="9" t="s">
        <v>379</v>
      </c>
      <c r="W9" s="9" t="s">
        <v>379</v>
      </c>
      <c r="X9" s="9" t="s">
        <v>379</v>
      </c>
      <c r="Y9" s="9" t="s">
        <v>379</v>
      </c>
      <c r="Z9" s="9" t="s">
        <v>379</v>
      </c>
      <c r="AA9" s="9" t="s">
        <v>379</v>
      </c>
      <c r="AB9" s="9" t="s">
        <v>379</v>
      </c>
      <c r="AC9" s="9" t="s">
        <v>380</v>
      </c>
      <c r="AD9" s="9" t="s">
        <v>381</v>
      </c>
      <c r="AE9" s="9" t="s">
        <v>382</v>
      </c>
      <c r="AF9" s="9" t="s">
        <v>382</v>
      </c>
      <c r="AG9" s="9" t="s">
        <v>382</v>
      </c>
      <c r="AH9" s="9" t="s">
        <v>382</v>
      </c>
      <c r="AI9" s="9" t="s">
        <v>382</v>
      </c>
      <c r="AJ9" s="9" t="s">
        <v>382</v>
      </c>
      <c r="AK9" s="9" t="s">
        <v>382</v>
      </c>
      <c r="AL9" s="9" t="s">
        <v>382</v>
      </c>
      <c r="AM9" s="9" t="s">
        <v>382</v>
      </c>
      <c r="AN9" s="9" t="s">
        <v>382</v>
      </c>
      <c r="AO9" s="9" t="s">
        <v>383</v>
      </c>
      <c r="AP9" s="9" t="s">
        <v>384</v>
      </c>
      <c r="AQ9" s="9" t="s">
        <v>385</v>
      </c>
      <c r="AR9" s="9" t="s">
        <v>386</v>
      </c>
      <c r="AS9" s="9" t="s">
        <v>387</v>
      </c>
      <c r="AT9" s="9" t="s">
        <v>388</v>
      </c>
      <c r="AU9" s="9" t="s">
        <v>389</v>
      </c>
      <c r="AV9" s="9" t="s">
        <v>390</v>
      </c>
      <c r="AW9" s="9" t="s">
        <v>391</v>
      </c>
      <c r="AX9" s="9" t="s">
        <v>392</v>
      </c>
      <c r="AY9" s="9" t="s">
        <v>392</v>
      </c>
      <c r="AZ9" s="9" t="s">
        <v>393</v>
      </c>
      <c r="BA9" s="9" t="s">
        <v>394</v>
      </c>
      <c r="BB9" s="9" t="s">
        <v>395</v>
      </c>
      <c r="BC9" s="9" t="s">
        <v>396</v>
      </c>
      <c r="BD9" s="9" t="s">
        <v>397</v>
      </c>
      <c r="BE9" s="9" t="s">
        <v>397</v>
      </c>
      <c r="BF9" s="9" t="s">
        <v>398</v>
      </c>
      <c r="BG9" s="9" t="s">
        <v>399</v>
      </c>
      <c r="BH9" s="9" t="s">
        <v>399</v>
      </c>
      <c r="BI9" s="9" t="s">
        <v>399</v>
      </c>
      <c r="BJ9" s="9" t="s">
        <v>399</v>
      </c>
      <c r="BK9" s="9" t="s">
        <v>399</v>
      </c>
      <c r="BL9" s="9" t="s">
        <v>399</v>
      </c>
      <c r="BM9" s="9" t="s">
        <v>399</v>
      </c>
      <c r="BN9" s="9" t="s">
        <v>399</v>
      </c>
      <c r="BO9" s="9" t="s">
        <v>399</v>
      </c>
      <c r="BP9" s="9" t="s">
        <v>399</v>
      </c>
      <c r="BQ9" s="9" t="s">
        <v>400</v>
      </c>
      <c r="BR9" s="9" t="s">
        <v>401</v>
      </c>
      <c r="BS9" s="9" t="s">
        <v>402</v>
      </c>
      <c r="BT9" s="9" t="s">
        <v>403</v>
      </c>
      <c r="BU9" s="9" t="s">
        <v>404</v>
      </c>
      <c r="BV9" s="9" t="s">
        <v>405</v>
      </c>
      <c r="BW9" s="9" t="s">
        <v>346</v>
      </c>
      <c r="BX9" s="9" t="s">
        <v>346</v>
      </c>
      <c r="BY9" s="9" t="s">
        <v>346</v>
      </c>
      <c r="BZ9" s="9" t="s">
        <v>346</v>
      </c>
      <c r="CA9" s="9" t="s">
        <v>346</v>
      </c>
      <c r="CB9" s="9" t="s">
        <v>346</v>
      </c>
      <c r="CC9" s="9" t="s">
        <v>346</v>
      </c>
      <c r="CD9" s="9" t="s">
        <v>346</v>
      </c>
      <c r="CE9" s="9" t="s">
        <v>346</v>
      </c>
      <c r="CF9" s="9" t="s">
        <v>346</v>
      </c>
      <c r="CG9" s="9" t="s">
        <v>346</v>
      </c>
      <c r="CH9" s="9" t="s">
        <v>346</v>
      </c>
      <c r="CI9" s="9" t="s">
        <v>346</v>
      </c>
      <c r="CJ9" s="9" t="s">
        <v>346</v>
      </c>
      <c r="CK9" s="9" t="s">
        <v>346</v>
      </c>
      <c r="CL9" s="9" t="s">
        <v>346</v>
      </c>
      <c r="CM9" s="9" t="s">
        <v>346</v>
      </c>
      <c r="CN9" s="9" t="s">
        <v>346</v>
      </c>
      <c r="CO9" s="9" t="s">
        <v>346</v>
      </c>
      <c r="CP9" s="9" t="s">
        <v>346</v>
      </c>
    </row>
    <row r="10" spans="1:94" ht="15.75" customHeight="1">
      <c r="A10" s="56" t="s">
        <v>300</v>
      </c>
      <c r="B10" s="9" t="s">
        <v>346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s">
        <v>376</v>
      </c>
      <c r="L10" s="9" t="s">
        <v>377</v>
      </c>
      <c r="M10" s="9" t="s">
        <v>378</v>
      </c>
      <c r="N10" s="9" t="s">
        <v>379</v>
      </c>
      <c r="O10" s="9" t="s">
        <v>379</v>
      </c>
      <c r="P10" s="9" t="s">
        <v>379</v>
      </c>
      <c r="Q10" s="9" t="s">
        <v>379</v>
      </c>
      <c r="R10" s="9" t="s">
        <v>379</v>
      </c>
      <c r="S10" s="9" t="s">
        <v>379</v>
      </c>
      <c r="T10" s="9" t="s">
        <v>379</v>
      </c>
      <c r="U10" s="9" t="s">
        <v>379</v>
      </c>
      <c r="V10" s="9" t="s">
        <v>379</v>
      </c>
      <c r="W10" s="9" t="s">
        <v>379</v>
      </c>
      <c r="X10" s="9" t="s">
        <v>379</v>
      </c>
      <c r="Y10" s="9" t="s">
        <v>379</v>
      </c>
      <c r="Z10" s="9" t="s">
        <v>379</v>
      </c>
      <c r="AA10" s="9" t="s">
        <v>379</v>
      </c>
      <c r="AB10" s="9" t="s">
        <v>379</v>
      </c>
      <c r="AC10" s="9" t="s">
        <v>380</v>
      </c>
      <c r="AD10" s="9" t="s">
        <v>381</v>
      </c>
      <c r="AE10" s="9" t="s">
        <v>382</v>
      </c>
      <c r="AF10" s="9" t="s">
        <v>382</v>
      </c>
      <c r="AG10" s="9" t="s">
        <v>382</v>
      </c>
      <c r="AH10" s="9" t="s">
        <v>382</v>
      </c>
      <c r="AI10" s="9" t="s">
        <v>382</v>
      </c>
      <c r="AJ10" s="9" t="s">
        <v>382</v>
      </c>
      <c r="AK10" s="9" t="s">
        <v>382</v>
      </c>
      <c r="AL10" s="9" t="s">
        <v>382</v>
      </c>
      <c r="AM10" s="9" t="s">
        <v>382</v>
      </c>
      <c r="AN10" s="9" t="s">
        <v>382</v>
      </c>
      <c r="AO10" s="9" t="s">
        <v>383</v>
      </c>
      <c r="AP10" s="9" t="s">
        <v>384</v>
      </c>
      <c r="AQ10" s="9" t="s">
        <v>385</v>
      </c>
      <c r="AR10" s="9" t="s">
        <v>386</v>
      </c>
      <c r="AS10" s="9" t="s">
        <v>387</v>
      </c>
      <c r="AT10" s="9" t="s">
        <v>388</v>
      </c>
      <c r="AU10" s="9" t="s">
        <v>389</v>
      </c>
      <c r="AV10" s="9" t="s">
        <v>390</v>
      </c>
      <c r="AW10" s="9" t="s">
        <v>391</v>
      </c>
      <c r="AX10" s="9" t="s">
        <v>392</v>
      </c>
      <c r="AY10" s="9" t="s">
        <v>392</v>
      </c>
      <c r="AZ10" s="9" t="s">
        <v>393</v>
      </c>
      <c r="BA10" s="9" t="s">
        <v>394</v>
      </c>
      <c r="BB10" s="9" t="s">
        <v>395</v>
      </c>
      <c r="BC10" s="9" t="s">
        <v>396</v>
      </c>
      <c r="BD10" s="9" t="s">
        <v>397</v>
      </c>
      <c r="BE10" s="9" t="s">
        <v>397</v>
      </c>
      <c r="BF10" s="9" t="s">
        <v>398</v>
      </c>
      <c r="BG10" s="9" t="s">
        <v>399</v>
      </c>
      <c r="BH10" s="9" t="s">
        <v>399</v>
      </c>
      <c r="BI10" s="9" t="s">
        <v>399</v>
      </c>
      <c r="BJ10" s="9" t="s">
        <v>399</v>
      </c>
      <c r="BK10" s="9" t="s">
        <v>399</v>
      </c>
      <c r="BL10" s="9" t="s">
        <v>399</v>
      </c>
      <c r="BM10" s="9" t="s">
        <v>399</v>
      </c>
      <c r="BN10" s="9" t="s">
        <v>399</v>
      </c>
      <c r="BO10" s="9" t="s">
        <v>399</v>
      </c>
      <c r="BP10" s="9" t="s">
        <v>399</v>
      </c>
      <c r="BQ10" s="9" t="s">
        <v>400</v>
      </c>
      <c r="BR10" s="9" t="s">
        <v>401</v>
      </c>
      <c r="BS10" s="9" t="s">
        <v>402</v>
      </c>
      <c r="BT10" s="9" t="s">
        <v>403</v>
      </c>
      <c r="BU10" s="9" t="s">
        <v>404</v>
      </c>
      <c r="BV10" s="9" t="s">
        <v>405</v>
      </c>
      <c r="BW10" s="9" t="s">
        <v>346</v>
      </c>
      <c r="BX10" s="9" t="s">
        <v>346</v>
      </c>
      <c r="BY10" s="9" t="s">
        <v>346</v>
      </c>
      <c r="BZ10" s="9" t="s">
        <v>346</v>
      </c>
      <c r="CA10" s="9" t="s">
        <v>346</v>
      </c>
      <c r="CB10" s="9" t="s">
        <v>346</v>
      </c>
      <c r="CC10" s="9" t="s">
        <v>346</v>
      </c>
      <c r="CD10" s="9" t="s">
        <v>346</v>
      </c>
      <c r="CE10" s="9" t="s">
        <v>346</v>
      </c>
      <c r="CF10" s="9" t="s">
        <v>346</v>
      </c>
      <c r="CG10" s="9" t="s">
        <v>346</v>
      </c>
      <c r="CH10" s="9" t="s">
        <v>346</v>
      </c>
      <c r="CI10" s="9" t="s">
        <v>346</v>
      </c>
      <c r="CJ10" s="9" t="s">
        <v>346</v>
      </c>
      <c r="CK10" s="9" t="s">
        <v>346</v>
      </c>
      <c r="CL10" s="9" t="s">
        <v>346</v>
      </c>
      <c r="CM10" s="9" t="s">
        <v>346</v>
      </c>
      <c r="CN10" s="9" t="s">
        <v>346</v>
      </c>
      <c r="CO10" s="9" t="s">
        <v>346</v>
      </c>
      <c r="CP10" s="9" t="s">
        <v>346</v>
      </c>
    </row>
    <row r="11" spans="1:94" ht="15.75" customHeight="1">
      <c r="A11" s="56" t="s">
        <v>301</v>
      </c>
      <c r="B11" s="9" t="s">
        <v>346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s">
        <v>376</v>
      </c>
      <c r="L11" s="9" t="s">
        <v>377</v>
      </c>
      <c r="M11" s="9" t="s">
        <v>378</v>
      </c>
      <c r="N11" s="9" t="s">
        <v>379</v>
      </c>
      <c r="O11" s="9" t="s">
        <v>379</v>
      </c>
      <c r="P11" s="9" t="s">
        <v>379</v>
      </c>
      <c r="Q11" s="9" t="s">
        <v>379</v>
      </c>
      <c r="R11" s="9" t="s">
        <v>379</v>
      </c>
      <c r="S11" s="9" t="s">
        <v>379</v>
      </c>
      <c r="T11" s="9" t="s">
        <v>379</v>
      </c>
      <c r="U11" s="9" t="s">
        <v>379</v>
      </c>
      <c r="V11" s="9" t="s">
        <v>379</v>
      </c>
      <c r="W11" s="9" t="s">
        <v>379</v>
      </c>
      <c r="X11" s="9" t="s">
        <v>379</v>
      </c>
      <c r="Y11" s="9" t="s">
        <v>379</v>
      </c>
      <c r="Z11" s="9" t="s">
        <v>379</v>
      </c>
      <c r="AA11" s="9" t="s">
        <v>379</v>
      </c>
      <c r="AB11" s="9" t="s">
        <v>379</v>
      </c>
      <c r="AC11" s="9" t="s">
        <v>380</v>
      </c>
      <c r="AD11" s="9" t="s">
        <v>381</v>
      </c>
      <c r="AE11" s="9" t="s">
        <v>382</v>
      </c>
      <c r="AF11" s="9" t="s">
        <v>382</v>
      </c>
      <c r="AG11" s="9" t="s">
        <v>382</v>
      </c>
      <c r="AH11" s="9" t="s">
        <v>382</v>
      </c>
      <c r="AI11" s="9" t="s">
        <v>382</v>
      </c>
      <c r="AJ11" s="9" t="s">
        <v>382</v>
      </c>
      <c r="AK11" s="9" t="s">
        <v>382</v>
      </c>
      <c r="AL11" s="9" t="s">
        <v>382</v>
      </c>
      <c r="AM11" s="9" t="s">
        <v>382</v>
      </c>
      <c r="AN11" s="9" t="s">
        <v>382</v>
      </c>
      <c r="AO11" s="9" t="s">
        <v>383</v>
      </c>
      <c r="AP11" s="9" t="s">
        <v>384</v>
      </c>
      <c r="AQ11" s="9" t="s">
        <v>385</v>
      </c>
      <c r="AR11" s="9" t="s">
        <v>386</v>
      </c>
      <c r="AS11" s="9" t="s">
        <v>387</v>
      </c>
      <c r="AT11" s="9" t="s">
        <v>388</v>
      </c>
      <c r="AU11" s="9" t="s">
        <v>389</v>
      </c>
      <c r="AV11" s="9" t="s">
        <v>390</v>
      </c>
      <c r="AW11" s="9" t="s">
        <v>391</v>
      </c>
      <c r="AX11" s="9" t="s">
        <v>392</v>
      </c>
      <c r="AY11" s="9" t="s">
        <v>392</v>
      </c>
      <c r="AZ11" s="9" t="s">
        <v>393</v>
      </c>
      <c r="BA11" s="9" t="s">
        <v>394</v>
      </c>
      <c r="BB11" s="9" t="s">
        <v>395</v>
      </c>
      <c r="BC11" s="9" t="s">
        <v>396</v>
      </c>
      <c r="BD11" s="9" t="s">
        <v>397</v>
      </c>
      <c r="BE11" s="9" t="s">
        <v>397</v>
      </c>
      <c r="BF11" s="9" t="s">
        <v>398</v>
      </c>
      <c r="BG11" s="9" t="s">
        <v>399</v>
      </c>
      <c r="BH11" s="9" t="s">
        <v>399</v>
      </c>
      <c r="BI11" s="9" t="s">
        <v>399</v>
      </c>
      <c r="BJ11" s="9" t="s">
        <v>399</v>
      </c>
      <c r="BK11" s="9" t="s">
        <v>399</v>
      </c>
      <c r="BL11" s="9" t="s">
        <v>399</v>
      </c>
      <c r="BM11" s="9" t="s">
        <v>399</v>
      </c>
      <c r="BN11" s="9" t="s">
        <v>399</v>
      </c>
      <c r="BO11" s="9" t="s">
        <v>399</v>
      </c>
      <c r="BP11" s="9" t="s">
        <v>399</v>
      </c>
      <c r="BQ11" s="9" t="s">
        <v>400</v>
      </c>
      <c r="BR11" s="9" t="s">
        <v>401</v>
      </c>
      <c r="BS11" s="9" t="s">
        <v>402</v>
      </c>
      <c r="BT11" s="9" t="s">
        <v>403</v>
      </c>
      <c r="BU11" s="9" t="s">
        <v>404</v>
      </c>
      <c r="BV11" s="9" t="s">
        <v>405</v>
      </c>
      <c r="BW11" s="9" t="s">
        <v>346</v>
      </c>
      <c r="BX11" s="9" t="s">
        <v>346</v>
      </c>
      <c r="BY11" s="9" t="s">
        <v>346</v>
      </c>
      <c r="BZ11" s="9" t="s">
        <v>346</v>
      </c>
      <c r="CA11" s="9" t="s">
        <v>346</v>
      </c>
      <c r="CB11" s="9" t="s">
        <v>346</v>
      </c>
      <c r="CC11" s="9" t="s">
        <v>346</v>
      </c>
      <c r="CD11" s="9" t="s">
        <v>346</v>
      </c>
      <c r="CE11" s="9" t="s">
        <v>346</v>
      </c>
      <c r="CF11" s="9" t="s">
        <v>346</v>
      </c>
      <c r="CG11" s="9" t="s">
        <v>346</v>
      </c>
      <c r="CH11" s="9" t="s">
        <v>346</v>
      </c>
      <c r="CI11" s="9" t="s">
        <v>346</v>
      </c>
      <c r="CJ11" s="9" t="s">
        <v>346</v>
      </c>
      <c r="CK11" s="9" t="s">
        <v>346</v>
      </c>
      <c r="CL11" s="9" t="s">
        <v>346</v>
      </c>
      <c r="CM11" s="9" t="s">
        <v>346</v>
      </c>
      <c r="CN11" s="9" t="s">
        <v>346</v>
      </c>
      <c r="CO11" s="9" t="s">
        <v>346</v>
      </c>
      <c r="CP11" s="9" t="s">
        <v>346</v>
      </c>
    </row>
    <row r="12" spans="1:94" ht="15.75" customHeight="1">
      <c r="A12" s="56" t="s">
        <v>302</v>
      </c>
      <c r="B12" s="9" t="s">
        <v>346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s">
        <v>376</v>
      </c>
      <c r="L12" s="9" t="s">
        <v>377</v>
      </c>
      <c r="M12" s="9" t="s">
        <v>378</v>
      </c>
      <c r="N12" s="9" t="s">
        <v>379</v>
      </c>
      <c r="O12" s="9" t="s">
        <v>379</v>
      </c>
      <c r="P12" s="9" t="s">
        <v>379</v>
      </c>
      <c r="Q12" s="9" t="s">
        <v>379</v>
      </c>
      <c r="R12" s="9" t="s">
        <v>379</v>
      </c>
      <c r="S12" s="9" t="s">
        <v>379</v>
      </c>
      <c r="T12" s="9" t="s">
        <v>379</v>
      </c>
      <c r="U12" s="9" t="s">
        <v>379</v>
      </c>
      <c r="V12" s="9" t="s">
        <v>379</v>
      </c>
      <c r="W12" s="9" t="s">
        <v>379</v>
      </c>
      <c r="X12" s="9" t="s">
        <v>379</v>
      </c>
      <c r="Y12" s="9" t="s">
        <v>379</v>
      </c>
      <c r="Z12" s="9" t="s">
        <v>379</v>
      </c>
      <c r="AA12" s="9" t="s">
        <v>379</v>
      </c>
      <c r="AB12" s="9" t="s">
        <v>379</v>
      </c>
      <c r="AC12" s="9" t="s">
        <v>380</v>
      </c>
      <c r="AD12" s="9" t="s">
        <v>381</v>
      </c>
      <c r="AE12" s="9" t="s">
        <v>382</v>
      </c>
      <c r="AF12" s="9" t="s">
        <v>382</v>
      </c>
      <c r="AG12" s="9" t="s">
        <v>382</v>
      </c>
      <c r="AH12" s="9" t="s">
        <v>382</v>
      </c>
      <c r="AI12" s="9" t="s">
        <v>382</v>
      </c>
      <c r="AJ12" s="9" t="s">
        <v>382</v>
      </c>
      <c r="AK12" s="9" t="s">
        <v>382</v>
      </c>
      <c r="AL12" s="9" t="s">
        <v>382</v>
      </c>
      <c r="AM12" s="9" t="s">
        <v>382</v>
      </c>
      <c r="AN12" s="9" t="s">
        <v>382</v>
      </c>
      <c r="AO12" s="9" t="s">
        <v>383</v>
      </c>
      <c r="AP12" s="9" t="s">
        <v>384</v>
      </c>
      <c r="AQ12" s="9" t="s">
        <v>385</v>
      </c>
      <c r="AR12" s="9" t="s">
        <v>386</v>
      </c>
      <c r="AS12" s="9" t="s">
        <v>387</v>
      </c>
      <c r="AT12" s="9" t="s">
        <v>388</v>
      </c>
      <c r="AU12" s="9" t="s">
        <v>389</v>
      </c>
      <c r="AV12" s="9" t="s">
        <v>390</v>
      </c>
      <c r="AW12" s="9" t="s">
        <v>391</v>
      </c>
      <c r="AX12" s="9" t="s">
        <v>392</v>
      </c>
      <c r="AY12" s="9" t="s">
        <v>392</v>
      </c>
      <c r="AZ12" s="9" t="s">
        <v>393</v>
      </c>
      <c r="BA12" s="9" t="s">
        <v>394</v>
      </c>
      <c r="BB12" s="9" t="s">
        <v>395</v>
      </c>
      <c r="BC12" s="9" t="s">
        <v>396</v>
      </c>
      <c r="BD12" s="9" t="s">
        <v>397</v>
      </c>
      <c r="BE12" s="9" t="s">
        <v>397</v>
      </c>
      <c r="BF12" s="9" t="s">
        <v>398</v>
      </c>
      <c r="BG12" s="9" t="s">
        <v>399</v>
      </c>
      <c r="BH12" s="9" t="s">
        <v>399</v>
      </c>
      <c r="BI12" s="9" t="s">
        <v>399</v>
      </c>
      <c r="BJ12" s="9" t="s">
        <v>399</v>
      </c>
      <c r="BK12" s="9" t="s">
        <v>399</v>
      </c>
      <c r="BL12" s="9" t="s">
        <v>399</v>
      </c>
      <c r="BM12" s="9" t="s">
        <v>399</v>
      </c>
      <c r="BN12" s="9" t="s">
        <v>399</v>
      </c>
      <c r="BO12" s="9" t="s">
        <v>399</v>
      </c>
      <c r="BP12" s="9" t="s">
        <v>399</v>
      </c>
      <c r="BQ12" s="9" t="s">
        <v>400</v>
      </c>
      <c r="BR12" s="9" t="s">
        <v>401</v>
      </c>
      <c r="BS12" s="9" t="s">
        <v>402</v>
      </c>
      <c r="BT12" s="9" t="s">
        <v>403</v>
      </c>
      <c r="BU12" s="9" t="s">
        <v>404</v>
      </c>
      <c r="BV12" s="9" t="s">
        <v>405</v>
      </c>
      <c r="BW12" s="9" t="s">
        <v>346</v>
      </c>
      <c r="BX12" s="9" t="s">
        <v>346</v>
      </c>
      <c r="BY12" s="9" t="s">
        <v>346</v>
      </c>
      <c r="BZ12" s="9" t="s">
        <v>346</v>
      </c>
      <c r="CA12" s="9" t="s">
        <v>346</v>
      </c>
      <c r="CB12" s="9" t="s">
        <v>346</v>
      </c>
      <c r="CC12" s="9" t="s">
        <v>346</v>
      </c>
      <c r="CD12" s="9" t="s">
        <v>346</v>
      </c>
      <c r="CE12" s="9" t="s">
        <v>346</v>
      </c>
      <c r="CF12" s="9" t="s">
        <v>346</v>
      </c>
      <c r="CG12" s="9" t="s">
        <v>346</v>
      </c>
      <c r="CH12" s="9" t="s">
        <v>346</v>
      </c>
      <c r="CI12" s="9" t="s">
        <v>346</v>
      </c>
      <c r="CJ12" s="9" t="s">
        <v>346</v>
      </c>
      <c r="CK12" s="9" t="s">
        <v>346</v>
      </c>
      <c r="CL12" s="9" t="s">
        <v>346</v>
      </c>
      <c r="CM12" s="9" t="s">
        <v>346</v>
      </c>
      <c r="CN12" s="9" t="s">
        <v>346</v>
      </c>
      <c r="CO12" s="9" t="s">
        <v>346</v>
      </c>
      <c r="CP12" s="9" t="s">
        <v>346</v>
      </c>
    </row>
    <row r="13" spans="1:94" ht="15.75" customHeight="1">
      <c r="A13" s="56" t="s">
        <v>303</v>
      </c>
      <c r="B13" s="9" t="s">
        <v>346</v>
      </c>
      <c r="C13" s="9" t="s">
        <v>376</v>
      </c>
      <c r="D13" s="9" t="s">
        <v>376</v>
      </c>
      <c r="E13" s="9" t="s">
        <v>376</v>
      </c>
      <c r="F13" s="9" t="s">
        <v>376</v>
      </c>
      <c r="G13" s="9" t="s">
        <v>376</v>
      </c>
      <c r="H13" s="9" t="s">
        <v>376</v>
      </c>
      <c r="I13" s="9" t="s">
        <v>376</v>
      </c>
      <c r="J13" s="9" t="s">
        <v>376</v>
      </c>
      <c r="K13" s="9" t="n">
        <v>0</v>
      </c>
      <c r="L13" s="9" t="s">
        <v>377</v>
      </c>
      <c r="M13" s="9" t="s">
        <v>378</v>
      </c>
      <c r="N13" s="9" t="s">
        <v>379</v>
      </c>
      <c r="O13" s="9" t="s">
        <v>379</v>
      </c>
      <c r="P13" s="9" t="s">
        <v>379</v>
      </c>
      <c r="Q13" s="9" t="s">
        <v>379</v>
      </c>
      <c r="R13" s="9" t="s">
        <v>379</v>
      </c>
      <c r="S13" s="9" t="s">
        <v>379</v>
      </c>
      <c r="T13" s="9" t="s">
        <v>379</v>
      </c>
      <c r="U13" s="9" t="s">
        <v>379</v>
      </c>
      <c r="V13" s="9" t="s">
        <v>379</v>
      </c>
      <c r="W13" s="9" t="s">
        <v>379</v>
      </c>
      <c r="X13" s="9" t="s">
        <v>379</v>
      </c>
      <c r="Y13" s="9" t="s">
        <v>379</v>
      </c>
      <c r="Z13" s="9" t="s">
        <v>379</v>
      </c>
      <c r="AA13" s="9" t="s">
        <v>379</v>
      </c>
      <c r="AB13" s="9" t="s">
        <v>379</v>
      </c>
      <c r="AC13" s="9" t="s">
        <v>380</v>
      </c>
      <c r="AD13" s="9" t="s">
        <v>381</v>
      </c>
      <c r="AE13" s="9" t="s">
        <v>382</v>
      </c>
      <c r="AF13" s="9" t="s">
        <v>382</v>
      </c>
      <c r="AG13" s="9" t="s">
        <v>382</v>
      </c>
      <c r="AH13" s="9" t="s">
        <v>382</v>
      </c>
      <c r="AI13" s="9" t="s">
        <v>382</v>
      </c>
      <c r="AJ13" s="9" t="s">
        <v>382</v>
      </c>
      <c r="AK13" s="9" t="s">
        <v>382</v>
      </c>
      <c r="AL13" s="9" t="s">
        <v>382</v>
      </c>
      <c r="AM13" s="9" t="s">
        <v>382</v>
      </c>
      <c r="AN13" s="9" t="s">
        <v>382</v>
      </c>
      <c r="AO13" s="9" t="s">
        <v>383</v>
      </c>
      <c r="AP13" s="9" t="s">
        <v>384</v>
      </c>
      <c r="AQ13" s="9" t="s">
        <v>385</v>
      </c>
      <c r="AR13" s="9" t="s">
        <v>386</v>
      </c>
      <c r="AS13" s="9" t="s">
        <v>387</v>
      </c>
      <c r="AT13" s="9" t="s">
        <v>388</v>
      </c>
      <c r="AU13" s="9" t="s">
        <v>389</v>
      </c>
      <c r="AV13" s="9" t="s">
        <v>390</v>
      </c>
      <c r="AW13" s="9" t="s">
        <v>391</v>
      </c>
      <c r="AX13" s="9" t="s">
        <v>392</v>
      </c>
      <c r="AY13" s="9" t="s">
        <v>392</v>
      </c>
      <c r="AZ13" s="9" t="s">
        <v>393</v>
      </c>
      <c r="BA13" s="9" t="s">
        <v>394</v>
      </c>
      <c r="BB13" s="9" t="s">
        <v>395</v>
      </c>
      <c r="BC13" s="9" t="s">
        <v>396</v>
      </c>
      <c r="BD13" s="9" t="s">
        <v>397</v>
      </c>
      <c r="BE13" s="9" t="s">
        <v>397</v>
      </c>
      <c r="BF13" s="9" t="s">
        <v>398</v>
      </c>
      <c r="BG13" s="9" t="s">
        <v>399</v>
      </c>
      <c r="BH13" s="9" t="s">
        <v>399</v>
      </c>
      <c r="BI13" s="9" t="s">
        <v>399</v>
      </c>
      <c r="BJ13" s="9" t="s">
        <v>399</v>
      </c>
      <c r="BK13" s="9" t="s">
        <v>399</v>
      </c>
      <c r="BL13" s="9" t="s">
        <v>399</v>
      </c>
      <c r="BM13" s="9" t="s">
        <v>399</v>
      </c>
      <c r="BN13" s="9" t="s">
        <v>399</v>
      </c>
      <c r="BO13" s="9" t="s">
        <v>399</v>
      </c>
      <c r="BP13" s="9" t="s">
        <v>399</v>
      </c>
      <c r="BQ13" s="9" t="s">
        <v>400</v>
      </c>
      <c r="BR13" s="9" t="s">
        <v>401</v>
      </c>
      <c r="BS13" s="9" t="s">
        <v>402</v>
      </c>
      <c r="BT13" s="9" t="s">
        <v>403</v>
      </c>
      <c r="BU13" s="9" t="s">
        <v>404</v>
      </c>
      <c r="BV13" s="9" t="s">
        <v>405</v>
      </c>
      <c r="BW13" s="9" t="s">
        <v>346</v>
      </c>
      <c r="BX13" s="9" t="s">
        <v>346</v>
      </c>
      <c r="BY13" s="9" t="s">
        <v>346</v>
      </c>
      <c r="BZ13" s="9" t="s">
        <v>346</v>
      </c>
      <c r="CA13" s="9" t="s">
        <v>346</v>
      </c>
      <c r="CB13" s="9" t="s">
        <v>346</v>
      </c>
      <c r="CC13" s="9" t="s">
        <v>346</v>
      </c>
      <c r="CD13" s="9" t="s">
        <v>346</v>
      </c>
      <c r="CE13" s="9" t="s">
        <v>346</v>
      </c>
      <c r="CF13" s="9" t="s">
        <v>346</v>
      </c>
      <c r="CG13" s="9" t="s">
        <v>346</v>
      </c>
      <c r="CH13" s="9" t="s">
        <v>346</v>
      </c>
      <c r="CI13" s="9" t="s">
        <v>346</v>
      </c>
      <c r="CJ13" s="9" t="s">
        <v>346</v>
      </c>
      <c r="CK13" s="9" t="s">
        <v>346</v>
      </c>
      <c r="CL13" s="9" t="s">
        <v>346</v>
      </c>
      <c r="CM13" s="9" t="s">
        <v>346</v>
      </c>
      <c r="CN13" s="9" t="s">
        <v>346</v>
      </c>
      <c r="CO13" s="9" t="s">
        <v>346</v>
      </c>
      <c r="CP13" s="9" t="s">
        <v>346</v>
      </c>
    </row>
    <row r="14" spans="1:94" ht="15.75" customHeight="1">
      <c r="A14" s="56" t="s">
        <v>304</v>
      </c>
      <c r="B14" s="9" t="s">
        <v>347</v>
      </c>
      <c r="C14" s="9" t="s">
        <v>377</v>
      </c>
      <c r="D14" s="9" t="s">
        <v>377</v>
      </c>
      <c r="E14" s="9" t="s">
        <v>377</v>
      </c>
      <c r="F14" s="9" t="s">
        <v>377</v>
      </c>
      <c r="G14" s="9" t="s">
        <v>377</v>
      </c>
      <c r="H14" s="9" t="s">
        <v>377</v>
      </c>
      <c r="I14" s="9" t="s">
        <v>377</v>
      </c>
      <c r="J14" s="9" t="s">
        <v>377</v>
      </c>
      <c r="K14" s="9" t="s">
        <v>377</v>
      </c>
      <c r="L14" s="9" t="n">
        <v>0</v>
      </c>
      <c r="M14" s="9" t="s">
        <v>406</v>
      </c>
      <c r="N14" s="9" t="s">
        <v>407</v>
      </c>
      <c r="O14" s="9" t="s">
        <v>407</v>
      </c>
      <c r="P14" s="9" t="s">
        <v>407</v>
      </c>
      <c r="Q14" s="9" t="s">
        <v>407</v>
      </c>
      <c r="R14" s="9" t="s">
        <v>407</v>
      </c>
      <c r="S14" s="9" t="s">
        <v>407</v>
      </c>
      <c r="T14" s="9" t="s">
        <v>407</v>
      </c>
      <c r="U14" s="9" t="s">
        <v>407</v>
      </c>
      <c r="V14" s="9" t="s">
        <v>407</v>
      </c>
      <c r="W14" s="9" t="s">
        <v>407</v>
      </c>
      <c r="X14" s="9" t="s">
        <v>407</v>
      </c>
      <c r="Y14" s="9" t="s">
        <v>407</v>
      </c>
      <c r="Z14" s="9" t="s">
        <v>407</v>
      </c>
      <c r="AA14" s="9" t="s">
        <v>407</v>
      </c>
      <c r="AB14" s="9" t="s">
        <v>407</v>
      </c>
      <c r="AC14" s="9" t="s">
        <v>408</v>
      </c>
      <c r="AD14" s="9" t="s">
        <v>409</v>
      </c>
      <c r="AE14" s="9" t="s">
        <v>410</v>
      </c>
      <c r="AF14" s="9" t="s">
        <v>410</v>
      </c>
      <c r="AG14" s="9" t="s">
        <v>410</v>
      </c>
      <c r="AH14" s="9" t="s">
        <v>410</v>
      </c>
      <c r="AI14" s="9" t="s">
        <v>410</v>
      </c>
      <c r="AJ14" s="9" t="s">
        <v>410</v>
      </c>
      <c r="AK14" s="9" t="s">
        <v>410</v>
      </c>
      <c r="AL14" s="9" t="s">
        <v>410</v>
      </c>
      <c r="AM14" s="9" t="s">
        <v>410</v>
      </c>
      <c r="AN14" s="9" t="s">
        <v>410</v>
      </c>
      <c r="AO14" s="9" t="s">
        <v>411</v>
      </c>
      <c r="AP14" s="9" t="s">
        <v>412</v>
      </c>
      <c r="AQ14" s="9" t="s">
        <v>413</v>
      </c>
      <c r="AR14" s="9" t="s">
        <v>414</v>
      </c>
      <c r="AS14" s="9" t="s">
        <v>415</v>
      </c>
      <c r="AT14" s="9" t="s">
        <v>416</v>
      </c>
      <c r="AU14" s="9" t="s">
        <v>417</v>
      </c>
      <c r="AV14" s="9" t="s">
        <v>418</v>
      </c>
      <c r="AW14" s="9" t="s">
        <v>419</v>
      </c>
      <c r="AX14" s="9" t="s">
        <v>420</v>
      </c>
      <c r="AY14" s="9" t="s">
        <v>420</v>
      </c>
      <c r="AZ14" s="9" t="s">
        <v>421</v>
      </c>
      <c r="BA14" s="9" t="s">
        <v>422</v>
      </c>
      <c r="BB14" s="9" t="s">
        <v>423</v>
      </c>
      <c r="BC14" s="9" t="s">
        <v>424</v>
      </c>
      <c r="BD14" s="9" t="s">
        <v>425</v>
      </c>
      <c r="BE14" s="9" t="s">
        <v>425</v>
      </c>
      <c r="BF14" s="9" t="s">
        <v>426</v>
      </c>
      <c r="BG14" s="9" t="s">
        <v>427</v>
      </c>
      <c r="BH14" s="9" t="s">
        <v>427</v>
      </c>
      <c r="BI14" s="9" t="s">
        <v>427</v>
      </c>
      <c r="BJ14" s="9" t="s">
        <v>427</v>
      </c>
      <c r="BK14" s="9" t="s">
        <v>427</v>
      </c>
      <c r="BL14" s="9" t="s">
        <v>427</v>
      </c>
      <c r="BM14" s="9" t="s">
        <v>427</v>
      </c>
      <c r="BN14" s="9" t="s">
        <v>427</v>
      </c>
      <c r="BO14" s="9" t="s">
        <v>427</v>
      </c>
      <c r="BP14" s="9" t="s">
        <v>427</v>
      </c>
      <c r="BQ14" s="9" t="s">
        <v>428</v>
      </c>
      <c r="BR14" s="9" t="s">
        <v>429</v>
      </c>
      <c r="BS14" s="9" t="s">
        <v>430</v>
      </c>
      <c r="BT14" s="9" t="s">
        <v>431</v>
      </c>
      <c r="BU14" s="9" t="s">
        <v>432</v>
      </c>
      <c r="BV14" s="9" t="s">
        <v>433</v>
      </c>
      <c r="BW14" s="9" t="s">
        <v>347</v>
      </c>
      <c r="BX14" s="9" t="s">
        <v>347</v>
      </c>
      <c r="BY14" s="9" t="s">
        <v>347</v>
      </c>
      <c r="BZ14" s="9" t="s">
        <v>347</v>
      </c>
      <c r="CA14" s="9" t="s">
        <v>347</v>
      </c>
      <c r="CB14" s="9" t="s">
        <v>347</v>
      </c>
      <c r="CC14" s="9" t="s">
        <v>347</v>
      </c>
      <c r="CD14" s="9" t="s">
        <v>347</v>
      </c>
      <c r="CE14" s="9" t="s">
        <v>347</v>
      </c>
      <c r="CF14" s="9" t="s">
        <v>347</v>
      </c>
      <c r="CG14" s="9" t="s">
        <v>347</v>
      </c>
      <c r="CH14" s="9" t="s">
        <v>347</v>
      </c>
      <c r="CI14" s="9" t="s">
        <v>347</v>
      </c>
      <c r="CJ14" s="9" t="s">
        <v>347</v>
      </c>
      <c r="CK14" s="9" t="s">
        <v>347</v>
      </c>
      <c r="CL14" s="9" t="s">
        <v>347</v>
      </c>
      <c r="CM14" s="9" t="s">
        <v>347</v>
      </c>
      <c r="CN14" s="9" t="s">
        <v>347</v>
      </c>
      <c r="CO14" s="9" t="s">
        <v>347</v>
      </c>
      <c r="CP14" s="9" t="s">
        <v>347</v>
      </c>
    </row>
    <row r="15" spans="1:94" ht="15.75" customHeight="1">
      <c r="A15" s="56" t="s">
        <v>305</v>
      </c>
      <c r="B15" s="9" t="s">
        <v>348</v>
      </c>
      <c r="C15" s="9" t="s">
        <v>378</v>
      </c>
      <c r="D15" s="9" t="s">
        <v>378</v>
      </c>
      <c r="E15" s="9" t="s">
        <v>378</v>
      </c>
      <c r="F15" s="9" t="s">
        <v>378</v>
      </c>
      <c r="G15" s="9" t="s">
        <v>378</v>
      </c>
      <c r="H15" s="9" t="s">
        <v>378</v>
      </c>
      <c r="I15" s="9" t="s">
        <v>378</v>
      </c>
      <c r="J15" s="9" t="s">
        <v>378</v>
      </c>
      <c r="K15" s="9" t="s">
        <v>378</v>
      </c>
      <c r="L15" s="9" t="s">
        <v>406</v>
      </c>
      <c r="M15" s="9" t="n">
        <v>0</v>
      </c>
      <c r="N15" s="9" t="s">
        <v>434</v>
      </c>
      <c r="O15" s="9" t="s">
        <v>434</v>
      </c>
      <c r="P15" s="9" t="s">
        <v>434</v>
      </c>
      <c r="Q15" s="9" t="s">
        <v>434</v>
      </c>
      <c r="R15" s="9" t="s">
        <v>434</v>
      </c>
      <c r="S15" s="9" t="s">
        <v>434</v>
      </c>
      <c r="T15" s="9" t="s">
        <v>434</v>
      </c>
      <c r="U15" s="9" t="s">
        <v>434</v>
      </c>
      <c r="V15" s="9" t="s">
        <v>434</v>
      </c>
      <c r="W15" s="9" t="s">
        <v>434</v>
      </c>
      <c r="X15" s="9" t="s">
        <v>434</v>
      </c>
      <c r="Y15" s="9" t="s">
        <v>434</v>
      </c>
      <c r="Z15" s="9" t="s">
        <v>434</v>
      </c>
      <c r="AA15" s="9" t="s">
        <v>434</v>
      </c>
      <c r="AB15" s="9" t="s">
        <v>434</v>
      </c>
      <c r="AC15" s="9" t="s">
        <v>435</v>
      </c>
      <c r="AD15" s="9" t="s">
        <v>436</v>
      </c>
      <c r="AE15" s="9" t="s">
        <v>437</v>
      </c>
      <c r="AF15" s="9" t="s">
        <v>437</v>
      </c>
      <c r="AG15" s="9" t="s">
        <v>437</v>
      </c>
      <c r="AH15" s="9" t="s">
        <v>437</v>
      </c>
      <c r="AI15" s="9" t="s">
        <v>437</v>
      </c>
      <c r="AJ15" s="9" t="s">
        <v>437</v>
      </c>
      <c r="AK15" s="9" t="s">
        <v>437</v>
      </c>
      <c r="AL15" s="9" t="s">
        <v>437</v>
      </c>
      <c r="AM15" s="9" t="s">
        <v>437</v>
      </c>
      <c r="AN15" s="9" t="s">
        <v>437</v>
      </c>
      <c r="AO15" s="9" t="s">
        <v>438</v>
      </c>
      <c r="AP15" s="9" t="s">
        <v>439</v>
      </c>
      <c r="AQ15" s="9" t="s">
        <v>440</v>
      </c>
      <c r="AR15" s="9" t="s">
        <v>441</v>
      </c>
      <c r="AS15" s="9" t="s">
        <v>442</v>
      </c>
      <c r="AT15" s="9" t="s">
        <v>443</v>
      </c>
      <c r="AU15" s="9" t="s">
        <v>444</v>
      </c>
      <c r="AV15" s="9" t="s">
        <v>445</v>
      </c>
      <c r="AW15" s="9" t="s">
        <v>446</v>
      </c>
      <c r="AX15" s="9" t="s">
        <v>447</v>
      </c>
      <c r="AY15" s="9" t="s">
        <v>447</v>
      </c>
      <c r="AZ15" s="9" t="s">
        <v>448</v>
      </c>
      <c r="BA15" s="9" t="s">
        <v>449</v>
      </c>
      <c r="BB15" s="9" t="s">
        <v>450</v>
      </c>
      <c r="BC15" s="9" t="s">
        <v>451</v>
      </c>
      <c r="BD15" s="9" t="s">
        <v>452</v>
      </c>
      <c r="BE15" s="9" t="s">
        <v>452</v>
      </c>
      <c r="BF15" s="9" t="s">
        <v>453</v>
      </c>
      <c r="BG15" s="9" t="s">
        <v>454</v>
      </c>
      <c r="BH15" s="9" t="s">
        <v>454</v>
      </c>
      <c r="BI15" s="9" t="s">
        <v>454</v>
      </c>
      <c r="BJ15" s="9" t="s">
        <v>454</v>
      </c>
      <c r="BK15" s="9" t="s">
        <v>454</v>
      </c>
      <c r="BL15" s="9" t="s">
        <v>454</v>
      </c>
      <c r="BM15" s="9" t="s">
        <v>454</v>
      </c>
      <c r="BN15" s="9" t="s">
        <v>454</v>
      </c>
      <c r="BO15" s="9" t="s">
        <v>454</v>
      </c>
      <c r="BP15" s="9" t="s">
        <v>454</v>
      </c>
      <c r="BQ15" s="9" t="s">
        <v>455</v>
      </c>
      <c r="BR15" s="9" t="s">
        <v>456</v>
      </c>
      <c r="BS15" s="9" t="s">
        <v>457</v>
      </c>
      <c r="BT15" s="9" t="s">
        <v>458</v>
      </c>
      <c r="BU15" s="9" t="s">
        <v>459</v>
      </c>
      <c r="BV15" s="9" t="s">
        <v>460</v>
      </c>
      <c r="BW15" s="9" t="s">
        <v>348</v>
      </c>
      <c r="BX15" s="9" t="s">
        <v>348</v>
      </c>
      <c r="BY15" s="9" t="s">
        <v>348</v>
      </c>
      <c r="BZ15" s="9" t="s">
        <v>348</v>
      </c>
      <c r="CA15" s="9" t="s">
        <v>348</v>
      </c>
      <c r="CB15" s="9" t="s">
        <v>348</v>
      </c>
      <c r="CC15" s="9" t="s">
        <v>348</v>
      </c>
      <c r="CD15" s="9" t="s">
        <v>348</v>
      </c>
      <c r="CE15" s="9" t="s">
        <v>348</v>
      </c>
      <c r="CF15" s="9" t="s">
        <v>348</v>
      </c>
      <c r="CG15" s="9" t="s">
        <v>348</v>
      </c>
      <c r="CH15" s="9" t="s">
        <v>348</v>
      </c>
      <c r="CI15" s="9" t="s">
        <v>348</v>
      </c>
      <c r="CJ15" s="9" t="s">
        <v>348</v>
      </c>
      <c r="CK15" s="9" t="s">
        <v>348</v>
      </c>
      <c r="CL15" s="9" t="s">
        <v>348</v>
      </c>
      <c r="CM15" s="9" t="s">
        <v>348</v>
      </c>
      <c r="CN15" s="9" t="s">
        <v>348</v>
      </c>
      <c r="CO15" s="9" t="s">
        <v>348</v>
      </c>
      <c r="CP15" s="9" t="s">
        <v>348</v>
      </c>
    </row>
    <row r="16" spans="1:94" ht="15.75" customHeight="1">
      <c r="A16" s="56" t="s">
        <v>306</v>
      </c>
      <c r="B16" s="9" t="s">
        <v>349</v>
      </c>
      <c r="C16" s="9" t="s">
        <v>379</v>
      </c>
      <c r="D16" s="9" t="s">
        <v>379</v>
      </c>
      <c r="E16" s="9" t="s">
        <v>379</v>
      </c>
      <c r="F16" s="9" t="s">
        <v>379</v>
      </c>
      <c r="G16" s="9" t="s">
        <v>379</v>
      </c>
      <c r="H16" s="9" t="s">
        <v>379</v>
      </c>
      <c r="I16" s="9" t="s">
        <v>379</v>
      </c>
      <c r="J16" s="9" t="s">
        <v>379</v>
      </c>
      <c r="K16" s="9" t="s">
        <v>379</v>
      </c>
      <c r="L16" s="9" t="s">
        <v>407</v>
      </c>
      <c r="M16" s="9" t="s">
        <v>434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9" t="s">
        <v>376</v>
      </c>
      <c r="AC16" s="9" t="s">
        <v>461</v>
      </c>
      <c r="AD16" s="9" t="s">
        <v>462</v>
      </c>
      <c r="AE16" s="9" t="s">
        <v>463</v>
      </c>
      <c r="AF16" s="9" t="s">
        <v>463</v>
      </c>
      <c r="AG16" s="9" t="s">
        <v>463</v>
      </c>
      <c r="AH16" s="9" t="s">
        <v>463</v>
      </c>
      <c r="AI16" s="9" t="s">
        <v>463</v>
      </c>
      <c r="AJ16" s="9" t="s">
        <v>463</v>
      </c>
      <c r="AK16" s="9" t="s">
        <v>463</v>
      </c>
      <c r="AL16" s="9" t="s">
        <v>463</v>
      </c>
      <c r="AM16" s="9" t="s">
        <v>463</v>
      </c>
      <c r="AN16" s="9" t="s">
        <v>463</v>
      </c>
      <c r="AO16" s="9" t="s">
        <v>464</v>
      </c>
      <c r="AP16" s="9" t="s">
        <v>465</v>
      </c>
      <c r="AQ16" s="9" t="s">
        <v>466</v>
      </c>
      <c r="AR16" s="9" t="s">
        <v>467</v>
      </c>
      <c r="AS16" s="9" t="s">
        <v>468</v>
      </c>
      <c r="AT16" s="9" t="s">
        <v>469</v>
      </c>
      <c r="AU16" s="9" t="s">
        <v>470</v>
      </c>
      <c r="AV16" s="9" t="s">
        <v>471</v>
      </c>
      <c r="AW16" s="9" t="s">
        <v>472</v>
      </c>
      <c r="AX16" s="9" t="s">
        <v>473</v>
      </c>
      <c r="AY16" s="9" t="s">
        <v>473</v>
      </c>
      <c r="AZ16" s="9" t="s">
        <v>474</v>
      </c>
      <c r="BA16" s="9" t="s">
        <v>475</v>
      </c>
      <c r="BB16" s="9" t="s">
        <v>476</v>
      </c>
      <c r="BC16" s="9" t="s">
        <v>477</v>
      </c>
      <c r="BD16" s="9" t="s">
        <v>478</v>
      </c>
      <c r="BE16" s="9" t="s">
        <v>478</v>
      </c>
      <c r="BF16" s="9" t="s">
        <v>479</v>
      </c>
      <c r="BG16" s="9" t="s">
        <v>480</v>
      </c>
      <c r="BH16" s="9" t="s">
        <v>480</v>
      </c>
      <c r="BI16" s="9" t="s">
        <v>480</v>
      </c>
      <c r="BJ16" s="9" t="s">
        <v>480</v>
      </c>
      <c r="BK16" s="9" t="s">
        <v>480</v>
      </c>
      <c r="BL16" s="9" t="s">
        <v>480</v>
      </c>
      <c r="BM16" s="9" t="s">
        <v>480</v>
      </c>
      <c r="BN16" s="9" t="s">
        <v>480</v>
      </c>
      <c r="BO16" s="9" t="s">
        <v>480</v>
      </c>
      <c r="BP16" s="9" t="s">
        <v>480</v>
      </c>
      <c r="BQ16" s="9" t="s">
        <v>481</v>
      </c>
      <c r="BR16" s="9" t="s">
        <v>482</v>
      </c>
      <c r="BS16" s="9" t="s">
        <v>483</v>
      </c>
      <c r="BT16" s="9" t="s">
        <v>484</v>
      </c>
      <c r="BU16" s="9" t="s">
        <v>485</v>
      </c>
      <c r="BV16" s="9" t="s">
        <v>486</v>
      </c>
      <c r="BW16" s="9" t="s">
        <v>349</v>
      </c>
      <c r="BX16" s="9" t="s">
        <v>349</v>
      </c>
      <c r="BY16" s="9" t="s">
        <v>349</v>
      </c>
      <c r="BZ16" s="9" t="s">
        <v>349</v>
      </c>
      <c r="CA16" s="9" t="s">
        <v>349</v>
      </c>
      <c r="CB16" s="9" t="s">
        <v>349</v>
      </c>
      <c r="CC16" s="9" t="s">
        <v>349</v>
      </c>
      <c r="CD16" s="9" t="s">
        <v>349</v>
      </c>
      <c r="CE16" s="9" t="s">
        <v>349</v>
      </c>
      <c r="CF16" s="9" t="s">
        <v>349</v>
      </c>
      <c r="CG16" s="9" t="s">
        <v>349</v>
      </c>
      <c r="CH16" s="9" t="s">
        <v>349</v>
      </c>
      <c r="CI16" s="9" t="s">
        <v>349</v>
      </c>
      <c r="CJ16" s="9" t="s">
        <v>349</v>
      </c>
      <c r="CK16" s="9" t="s">
        <v>349</v>
      </c>
      <c r="CL16" s="9" t="s">
        <v>349</v>
      </c>
      <c r="CM16" s="9" t="s">
        <v>349</v>
      </c>
      <c r="CN16" s="9" t="s">
        <v>349</v>
      </c>
      <c r="CO16" s="9" t="s">
        <v>349</v>
      </c>
      <c r="CP16" s="9" t="s">
        <v>349</v>
      </c>
    </row>
    <row r="17" spans="1:94" ht="15.75" customHeight="1">
      <c r="A17" s="56" t="s">
        <v>307</v>
      </c>
      <c r="B17" s="9" t="s">
        <v>349</v>
      </c>
      <c r="C17" s="9" t="s">
        <v>379</v>
      </c>
      <c r="D17" s="9" t="s">
        <v>379</v>
      </c>
      <c r="E17" s="9" t="s">
        <v>379</v>
      </c>
      <c r="F17" s="9" t="s">
        <v>379</v>
      </c>
      <c r="G17" s="9" t="s">
        <v>379</v>
      </c>
      <c r="H17" s="9" t="s">
        <v>379</v>
      </c>
      <c r="I17" s="9" t="s">
        <v>379</v>
      </c>
      <c r="J17" s="9" t="s">
        <v>379</v>
      </c>
      <c r="K17" s="9" t="s">
        <v>379</v>
      </c>
      <c r="L17" s="9" t="s">
        <v>407</v>
      </c>
      <c r="M17" s="9" t="s">
        <v>434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s">
        <v>376</v>
      </c>
      <c r="AC17" s="9" t="s">
        <v>461</v>
      </c>
      <c r="AD17" s="9" t="s">
        <v>462</v>
      </c>
      <c r="AE17" s="9" t="s">
        <v>463</v>
      </c>
      <c r="AF17" s="9" t="s">
        <v>463</v>
      </c>
      <c r="AG17" s="9" t="s">
        <v>463</v>
      </c>
      <c r="AH17" s="9" t="s">
        <v>463</v>
      </c>
      <c r="AI17" s="9" t="s">
        <v>463</v>
      </c>
      <c r="AJ17" s="9" t="s">
        <v>463</v>
      </c>
      <c r="AK17" s="9" t="s">
        <v>463</v>
      </c>
      <c r="AL17" s="9" t="s">
        <v>463</v>
      </c>
      <c r="AM17" s="9" t="s">
        <v>463</v>
      </c>
      <c r="AN17" s="9" t="s">
        <v>463</v>
      </c>
      <c r="AO17" s="9" t="s">
        <v>464</v>
      </c>
      <c r="AP17" s="9" t="s">
        <v>465</v>
      </c>
      <c r="AQ17" s="9" t="s">
        <v>466</v>
      </c>
      <c r="AR17" s="9" t="s">
        <v>467</v>
      </c>
      <c r="AS17" s="9" t="s">
        <v>468</v>
      </c>
      <c r="AT17" s="9" t="s">
        <v>469</v>
      </c>
      <c r="AU17" s="9" t="s">
        <v>470</v>
      </c>
      <c r="AV17" s="9" t="s">
        <v>471</v>
      </c>
      <c r="AW17" s="9" t="s">
        <v>472</v>
      </c>
      <c r="AX17" s="9" t="s">
        <v>473</v>
      </c>
      <c r="AY17" s="9" t="s">
        <v>473</v>
      </c>
      <c r="AZ17" s="9" t="s">
        <v>474</v>
      </c>
      <c r="BA17" s="9" t="s">
        <v>475</v>
      </c>
      <c r="BB17" s="9" t="s">
        <v>476</v>
      </c>
      <c r="BC17" s="9" t="s">
        <v>477</v>
      </c>
      <c r="BD17" s="9" t="s">
        <v>478</v>
      </c>
      <c r="BE17" s="9" t="s">
        <v>478</v>
      </c>
      <c r="BF17" s="9" t="s">
        <v>479</v>
      </c>
      <c r="BG17" s="9" t="s">
        <v>480</v>
      </c>
      <c r="BH17" s="9" t="s">
        <v>480</v>
      </c>
      <c r="BI17" s="9" t="s">
        <v>480</v>
      </c>
      <c r="BJ17" s="9" t="s">
        <v>480</v>
      </c>
      <c r="BK17" s="9" t="s">
        <v>480</v>
      </c>
      <c r="BL17" s="9" t="s">
        <v>480</v>
      </c>
      <c r="BM17" s="9" t="s">
        <v>480</v>
      </c>
      <c r="BN17" s="9" t="s">
        <v>480</v>
      </c>
      <c r="BO17" s="9" t="s">
        <v>480</v>
      </c>
      <c r="BP17" s="9" t="s">
        <v>480</v>
      </c>
      <c r="BQ17" s="9" t="s">
        <v>481</v>
      </c>
      <c r="BR17" s="9" t="s">
        <v>482</v>
      </c>
      <c r="BS17" s="9" t="s">
        <v>483</v>
      </c>
      <c r="BT17" s="9" t="s">
        <v>484</v>
      </c>
      <c r="BU17" s="9" t="s">
        <v>485</v>
      </c>
      <c r="BV17" s="9" t="s">
        <v>486</v>
      </c>
      <c r="BW17" s="9" t="s">
        <v>349</v>
      </c>
      <c r="BX17" s="9" t="s">
        <v>349</v>
      </c>
      <c r="BY17" s="9" t="s">
        <v>349</v>
      </c>
      <c r="BZ17" s="9" t="s">
        <v>349</v>
      </c>
      <c r="CA17" s="9" t="s">
        <v>349</v>
      </c>
      <c r="CB17" s="9" t="s">
        <v>349</v>
      </c>
      <c r="CC17" s="9" t="s">
        <v>349</v>
      </c>
      <c r="CD17" s="9" t="s">
        <v>349</v>
      </c>
      <c r="CE17" s="9" t="s">
        <v>349</v>
      </c>
      <c r="CF17" s="9" t="s">
        <v>349</v>
      </c>
      <c r="CG17" s="9" t="s">
        <v>349</v>
      </c>
      <c r="CH17" s="9" t="s">
        <v>349</v>
      </c>
      <c r="CI17" s="9" t="s">
        <v>349</v>
      </c>
      <c r="CJ17" s="9" t="s">
        <v>349</v>
      </c>
      <c r="CK17" s="9" t="s">
        <v>349</v>
      </c>
      <c r="CL17" s="9" t="s">
        <v>349</v>
      </c>
      <c r="CM17" s="9" t="s">
        <v>349</v>
      </c>
      <c r="CN17" s="9" t="s">
        <v>349</v>
      </c>
      <c r="CO17" s="9" t="s">
        <v>349</v>
      </c>
      <c r="CP17" s="9" t="s">
        <v>349</v>
      </c>
    </row>
    <row r="18" spans="1:94" ht="15.75" customHeight="1">
      <c r="A18" s="56" t="s">
        <v>308</v>
      </c>
      <c r="B18" s="9" t="s">
        <v>349</v>
      </c>
      <c r="C18" s="9" t="s">
        <v>379</v>
      </c>
      <c r="D18" s="9" t="s">
        <v>379</v>
      </c>
      <c r="E18" s="9" t="s">
        <v>379</v>
      </c>
      <c r="F18" s="9" t="s">
        <v>379</v>
      </c>
      <c r="G18" s="9" t="s">
        <v>379</v>
      </c>
      <c r="H18" s="9" t="s">
        <v>379</v>
      </c>
      <c r="I18" s="9" t="s">
        <v>379</v>
      </c>
      <c r="J18" s="9" t="s">
        <v>379</v>
      </c>
      <c r="K18" s="9" t="s">
        <v>379</v>
      </c>
      <c r="L18" s="9" t="s">
        <v>407</v>
      </c>
      <c r="M18" s="9" t="s">
        <v>434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s">
        <v>376</v>
      </c>
      <c r="AC18" s="9" t="s">
        <v>461</v>
      </c>
      <c r="AD18" s="9" t="s">
        <v>462</v>
      </c>
      <c r="AE18" s="9" t="s">
        <v>463</v>
      </c>
      <c r="AF18" s="9" t="s">
        <v>463</v>
      </c>
      <c r="AG18" s="9" t="s">
        <v>463</v>
      </c>
      <c r="AH18" s="9" t="s">
        <v>463</v>
      </c>
      <c r="AI18" s="9" t="s">
        <v>463</v>
      </c>
      <c r="AJ18" s="9" t="s">
        <v>463</v>
      </c>
      <c r="AK18" s="9" t="s">
        <v>463</v>
      </c>
      <c r="AL18" s="9" t="s">
        <v>463</v>
      </c>
      <c r="AM18" s="9" t="s">
        <v>463</v>
      </c>
      <c r="AN18" s="9" t="s">
        <v>463</v>
      </c>
      <c r="AO18" s="9" t="s">
        <v>464</v>
      </c>
      <c r="AP18" s="9" t="s">
        <v>465</v>
      </c>
      <c r="AQ18" s="9" t="s">
        <v>466</v>
      </c>
      <c r="AR18" s="9" t="s">
        <v>467</v>
      </c>
      <c r="AS18" s="9" t="s">
        <v>468</v>
      </c>
      <c r="AT18" s="9" t="s">
        <v>469</v>
      </c>
      <c r="AU18" s="9" t="s">
        <v>470</v>
      </c>
      <c r="AV18" s="9" t="s">
        <v>471</v>
      </c>
      <c r="AW18" s="9" t="s">
        <v>472</v>
      </c>
      <c r="AX18" s="9" t="s">
        <v>473</v>
      </c>
      <c r="AY18" s="9" t="s">
        <v>473</v>
      </c>
      <c r="AZ18" s="9" t="s">
        <v>474</v>
      </c>
      <c r="BA18" s="9" t="s">
        <v>475</v>
      </c>
      <c r="BB18" s="9" t="s">
        <v>476</v>
      </c>
      <c r="BC18" s="9" t="s">
        <v>477</v>
      </c>
      <c r="BD18" s="9" t="s">
        <v>478</v>
      </c>
      <c r="BE18" s="9" t="s">
        <v>478</v>
      </c>
      <c r="BF18" s="9" t="s">
        <v>479</v>
      </c>
      <c r="BG18" s="9" t="s">
        <v>480</v>
      </c>
      <c r="BH18" s="9" t="s">
        <v>480</v>
      </c>
      <c r="BI18" s="9" t="s">
        <v>480</v>
      </c>
      <c r="BJ18" s="9" t="s">
        <v>480</v>
      </c>
      <c r="BK18" s="9" t="s">
        <v>480</v>
      </c>
      <c r="BL18" s="9" t="s">
        <v>480</v>
      </c>
      <c r="BM18" s="9" t="s">
        <v>480</v>
      </c>
      <c r="BN18" s="9" t="s">
        <v>480</v>
      </c>
      <c r="BO18" s="9" t="s">
        <v>480</v>
      </c>
      <c r="BP18" s="9" t="s">
        <v>480</v>
      </c>
      <c r="BQ18" s="9" t="s">
        <v>481</v>
      </c>
      <c r="BR18" s="9" t="s">
        <v>482</v>
      </c>
      <c r="BS18" s="9" t="s">
        <v>483</v>
      </c>
      <c r="BT18" s="9" t="s">
        <v>484</v>
      </c>
      <c r="BU18" s="9" t="s">
        <v>485</v>
      </c>
      <c r="BV18" s="9" t="s">
        <v>486</v>
      </c>
      <c r="BW18" s="9" t="s">
        <v>349</v>
      </c>
      <c r="BX18" s="9" t="s">
        <v>349</v>
      </c>
      <c r="BY18" s="9" t="s">
        <v>349</v>
      </c>
      <c r="BZ18" s="9" t="s">
        <v>349</v>
      </c>
      <c r="CA18" s="9" t="s">
        <v>349</v>
      </c>
      <c r="CB18" s="9" t="s">
        <v>349</v>
      </c>
      <c r="CC18" s="9" t="s">
        <v>349</v>
      </c>
      <c r="CD18" s="9" t="s">
        <v>349</v>
      </c>
      <c r="CE18" s="9" t="s">
        <v>349</v>
      </c>
      <c r="CF18" s="9" t="s">
        <v>349</v>
      </c>
      <c r="CG18" s="9" t="s">
        <v>349</v>
      </c>
      <c r="CH18" s="9" t="s">
        <v>349</v>
      </c>
      <c r="CI18" s="9" t="s">
        <v>349</v>
      </c>
      <c r="CJ18" s="9" t="s">
        <v>349</v>
      </c>
      <c r="CK18" s="9" t="s">
        <v>349</v>
      </c>
      <c r="CL18" s="9" t="s">
        <v>349</v>
      </c>
      <c r="CM18" s="9" t="s">
        <v>349</v>
      </c>
      <c r="CN18" s="9" t="s">
        <v>349</v>
      </c>
      <c r="CO18" s="9" t="s">
        <v>349</v>
      </c>
      <c r="CP18" s="9" t="s">
        <v>349</v>
      </c>
    </row>
    <row r="19" spans="1:94" ht="15.75" customHeight="1">
      <c r="A19" s="56" t="s">
        <v>309</v>
      </c>
      <c r="B19" s="9" t="s">
        <v>349</v>
      </c>
      <c r="C19" s="9" t="s">
        <v>379</v>
      </c>
      <c r="D19" s="9" t="s">
        <v>379</v>
      </c>
      <c r="E19" s="9" t="s">
        <v>379</v>
      </c>
      <c r="F19" s="9" t="s">
        <v>379</v>
      </c>
      <c r="G19" s="9" t="s">
        <v>379</v>
      </c>
      <c r="H19" s="9" t="s">
        <v>379</v>
      </c>
      <c r="I19" s="9" t="s">
        <v>379</v>
      </c>
      <c r="J19" s="9" t="s">
        <v>379</v>
      </c>
      <c r="K19" s="9" t="s">
        <v>379</v>
      </c>
      <c r="L19" s="9" t="s">
        <v>407</v>
      </c>
      <c r="M19" s="9" t="s">
        <v>434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s">
        <v>376</v>
      </c>
      <c r="AC19" s="9" t="s">
        <v>461</v>
      </c>
      <c r="AD19" s="9" t="s">
        <v>462</v>
      </c>
      <c r="AE19" s="9" t="s">
        <v>463</v>
      </c>
      <c r="AF19" s="9" t="s">
        <v>463</v>
      </c>
      <c r="AG19" s="9" t="s">
        <v>463</v>
      </c>
      <c r="AH19" s="9" t="s">
        <v>463</v>
      </c>
      <c r="AI19" s="9" t="s">
        <v>463</v>
      </c>
      <c r="AJ19" s="9" t="s">
        <v>463</v>
      </c>
      <c r="AK19" s="9" t="s">
        <v>463</v>
      </c>
      <c r="AL19" s="9" t="s">
        <v>463</v>
      </c>
      <c r="AM19" s="9" t="s">
        <v>463</v>
      </c>
      <c r="AN19" s="9" t="s">
        <v>463</v>
      </c>
      <c r="AO19" s="9" t="s">
        <v>464</v>
      </c>
      <c r="AP19" s="9" t="s">
        <v>465</v>
      </c>
      <c r="AQ19" s="9" t="s">
        <v>466</v>
      </c>
      <c r="AR19" s="9" t="s">
        <v>467</v>
      </c>
      <c r="AS19" s="9" t="s">
        <v>468</v>
      </c>
      <c r="AT19" s="9" t="s">
        <v>469</v>
      </c>
      <c r="AU19" s="9" t="s">
        <v>470</v>
      </c>
      <c r="AV19" s="9" t="s">
        <v>471</v>
      </c>
      <c r="AW19" s="9" t="s">
        <v>472</v>
      </c>
      <c r="AX19" s="9" t="s">
        <v>473</v>
      </c>
      <c r="AY19" s="9" t="s">
        <v>473</v>
      </c>
      <c r="AZ19" s="9" t="s">
        <v>474</v>
      </c>
      <c r="BA19" s="9" t="s">
        <v>475</v>
      </c>
      <c r="BB19" s="9" t="s">
        <v>476</v>
      </c>
      <c r="BC19" s="9" t="s">
        <v>477</v>
      </c>
      <c r="BD19" s="9" t="s">
        <v>478</v>
      </c>
      <c r="BE19" s="9" t="s">
        <v>478</v>
      </c>
      <c r="BF19" s="9" t="s">
        <v>479</v>
      </c>
      <c r="BG19" s="9" t="s">
        <v>480</v>
      </c>
      <c r="BH19" s="9" t="s">
        <v>480</v>
      </c>
      <c r="BI19" s="9" t="s">
        <v>480</v>
      </c>
      <c r="BJ19" s="9" t="s">
        <v>480</v>
      </c>
      <c r="BK19" s="9" t="s">
        <v>480</v>
      </c>
      <c r="BL19" s="9" t="s">
        <v>480</v>
      </c>
      <c r="BM19" s="9" t="s">
        <v>480</v>
      </c>
      <c r="BN19" s="9" t="s">
        <v>480</v>
      </c>
      <c r="BO19" s="9" t="s">
        <v>480</v>
      </c>
      <c r="BP19" s="9" t="s">
        <v>480</v>
      </c>
      <c r="BQ19" s="9" t="s">
        <v>481</v>
      </c>
      <c r="BR19" s="9" t="s">
        <v>482</v>
      </c>
      <c r="BS19" s="9" t="s">
        <v>483</v>
      </c>
      <c r="BT19" s="9" t="s">
        <v>484</v>
      </c>
      <c r="BU19" s="9" t="s">
        <v>485</v>
      </c>
      <c r="BV19" s="9" t="s">
        <v>486</v>
      </c>
      <c r="BW19" s="9" t="s">
        <v>349</v>
      </c>
      <c r="BX19" s="9" t="s">
        <v>349</v>
      </c>
      <c r="BY19" s="9" t="s">
        <v>349</v>
      </c>
      <c r="BZ19" s="9" t="s">
        <v>349</v>
      </c>
      <c r="CA19" s="9" t="s">
        <v>349</v>
      </c>
      <c r="CB19" s="9" t="s">
        <v>349</v>
      </c>
      <c r="CC19" s="9" t="s">
        <v>349</v>
      </c>
      <c r="CD19" s="9" t="s">
        <v>349</v>
      </c>
      <c r="CE19" s="9" t="s">
        <v>349</v>
      </c>
      <c r="CF19" s="9" t="s">
        <v>349</v>
      </c>
      <c r="CG19" s="9" t="s">
        <v>349</v>
      </c>
      <c r="CH19" s="9" t="s">
        <v>349</v>
      </c>
      <c r="CI19" s="9" t="s">
        <v>349</v>
      </c>
      <c r="CJ19" s="9" t="s">
        <v>349</v>
      </c>
      <c r="CK19" s="9" t="s">
        <v>349</v>
      </c>
      <c r="CL19" s="9" t="s">
        <v>349</v>
      </c>
      <c r="CM19" s="9" t="s">
        <v>349</v>
      </c>
      <c r="CN19" s="9" t="s">
        <v>349</v>
      </c>
      <c r="CO19" s="9" t="s">
        <v>349</v>
      </c>
      <c r="CP19" s="9" t="s">
        <v>349</v>
      </c>
    </row>
    <row r="20" spans="1:94" ht="15.75" customHeight="1">
      <c r="A20" s="56" t="s">
        <v>310</v>
      </c>
      <c r="B20" s="9" t="s">
        <v>349</v>
      </c>
      <c r="C20" s="9" t="s">
        <v>379</v>
      </c>
      <c r="D20" s="9" t="s">
        <v>379</v>
      </c>
      <c r="E20" s="9" t="s">
        <v>379</v>
      </c>
      <c r="F20" s="9" t="s">
        <v>379</v>
      </c>
      <c r="G20" s="9" t="s">
        <v>379</v>
      </c>
      <c r="H20" s="9" t="s">
        <v>379</v>
      </c>
      <c r="I20" s="9" t="s">
        <v>379</v>
      </c>
      <c r="J20" s="9" t="s">
        <v>379</v>
      </c>
      <c r="K20" s="9" t="s">
        <v>379</v>
      </c>
      <c r="L20" s="9" t="s">
        <v>407</v>
      </c>
      <c r="M20" s="9" t="s">
        <v>434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s">
        <v>376</v>
      </c>
      <c r="AC20" s="9" t="s">
        <v>461</v>
      </c>
      <c r="AD20" s="9" t="s">
        <v>462</v>
      </c>
      <c r="AE20" s="9" t="s">
        <v>463</v>
      </c>
      <c r="AF20" s="9" t="s">
        <v>463</v>
      </c>
      <c r="AG20" s="9" t="s">
        <v>463</v>
      </c>
      <c r="AH20" s="9" t="s">
        <v>463</v>
      </c>
      <c r="AI20" s="9" t="s">
        <v>463</v>
      </c>
      <c r="AJ20" s="9" t="s">
        <v>463</v>
      </c>
      <c r="AK20" s="9" t="s">
        <v>463</v>
      </c>
      <c r="AL20" s="9" t="s">
        <v>463</v>
      </c>
      <c r="AM20" s="9" t="s">
        <v>463</v>
      </c>
      <c r="AN20" s="9" t="s">
        <v>463</v>
      </c>
      <c r="AO20" s="9" t="s">
        <v>464</v>
      </c>
      <c r="AP20" s="9" t="s">
        <v>465</v>
      </c>
      <c r="AQ20" s="9" t="s">
        <v>466</v>
      </c>
      <c r="AR20" s="9" t="s">
        <v>467</v>
      </c>
      <c r="AS20" s="9" t="s">
        <v>468</v>
      </c>
      <c r="AT20" s="9" t="s">
        <v>469</v>
      </c>
      <c r="AU20" s="9" t="s">
        <v>470</v>
      </c>
      <c r="AV20" s="9" t="s">
        <v>471</v>
      </c>
      <c r="AW20" s="9" t="s">
        <v>472</v>
      </c>
      <c r="AX20" s="9" t="s">
        <v>473</v>
      </c>
      <c r="AY20" s="9" t="s">
        <v>473</v>
      </c>
      <c r="AZ20" s="9" t="s">
        <v>474</v>
      </c>
      <c r="BA20" s="9" t="s">
        <v>475</v>
      </c>
      <c r="BB20" s="9" t="s">
        <v>476</v>
      </c>
      <c r="BC20" s="9" t="s">
        <v>477</v>
      </c>
      <c r="BD20" s="9" t="s">
        <v>478</v>
      </c>
      <c r="BE20" s="9" t="s">
        <v>478</v>
      </c>
      <c r="BF20" s="9" t="s">
        <v>479</v>
      </c>
      <c r="BG20" s="9" t="s">
        <v>480</v>
      </c>
      <c r="BH20" s="9" t="s">
        <v>480</v>
      </c>
      <c r="BI20" s="9" t="s">
        <v>480</v>
      </c>
      <c r="BJ20" s="9" t="s">
        <v>480</v>
      </c>
      <c r="BK20" s="9" t="s">
        <v>480</v>
      </c>
      <c r="BL20" s="9" t="s">
        <v>480</v>
      </c>
      <c r="BM20" s="9" t="s">
        <v>480</v>
      </c>
      <c r="BN20" s="9" t="s">
        <v>480</v>
      </c>
      <c r="BO20" s="9" t="s">
        <v>480</v>
      </c>
      <c r="BP20" s="9" t="s">
        <v>480</v>
      </c>
      <c r="BQ20" s="9" t="s">
        <v>481</v>
      </c>
      <c r="BR20" s="9" t="s">
        <v>482</v>
      </c>
      <c r="BS20" s="9" t="s">
        <v>483</v>
      </c>
      <c r="BT20" s="9" t="s">
        <v>484</v>
      </c>
      <c r="BU20" s="9" t="s">
        <v>485</v>
      </c>
      <c r="BV20" s="9" t="s">
        <v>486</v>
      </c>
      <c r="BW20" s="9" t="s">
        <v>349</v>
      </c>
      <c r="BX20" s="9" t="s">
        <v>349</v>
      </c>
      <c r="BY20" s="9" t="s">
        <v>349</v>
      </c>
      <c r="BZ20" s="9" t="s">
        <v>349</v>
      </c>
      <c r="CA20" s="9" t="s">
        <v>349</v>
      </c>
      <c r="CB20" s="9" t="s">
        <v>349</v>
      </c>
      <c r="CC20" s="9" t="s">
        <v>349</v>
      </c>
      <c r="CD20" s="9" t="s">
        <v>349</v>
      </c>
      <c r="CE20" s="9" t="s">
        <v>349</v>
      </c>
      <c r="CF20" s="9" t="s">
        <v>349</v>
      </c>
      <c r="CG20" s="9" t="s">
        <v>349</v>
      </c>
      <c r="CH20" s="9" t="s">
        <v>349</v>
      </c>
      <c r="CI20" s="9" t="s">
        <v>349</v>
      </c>
      <c r="CJ20" s="9" t="s">
        <v>349</v>
      </c>
      <c r="CK20" s="9" t="s">
        <v>349</v>
      </c>
      <c r="CL20" s="9" t="s">
        <v>349</v>
      </c>
      <c r="CM20" s="9" t="s">
        <v>349</v>
      </c>
      <c r="CN20" s="9" t="s">
        <v>349</v>
      </c>
      <c r="CO20" s="9" t="s">
        <v>349</v>
      </c>
      <c r="CP20" s="9" t="s">
        <v>349</v>
      </c>
    </row>
    <row r="21" spans="1:94" ht="15.75" customHeight="1">
      <c r="A21" s="56" t="s">
        <v>311</v>
      </c>
      <c r="B21" s="9" t="s">
        <v>349</v>
      </c>
      <c r="C21" s="9" t="s">
        <v>379</v>
      </c>
      <c r="D21" s="9" t="s">
        <v>379</v>
      </c>
      <c r="E21" s="9" t="s">
        <v>379</v>
      </c>
      <c r="F21" s="9" t="s">
        <v>379</v>
      </c>
      <c r="G21" s="9" t="s">
        <v>379</v>
      </c>
      <c r="H21" s="9" t="s">
        <v>379</v>
      </c>
      <c r="I21" s="9" t="s">
        <v>379</v>
      </c>
      <c r="J21" s="9" t="s">
        <v>379</v>
      </c>
      <c r="K21" s="9" t="s">
        <v>379</v>
      </c>
      <c r="L21" s="9" t="s">
        <v>407</v>
      </c>
      <c r="M21" s="9" t="s">
        <v>434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s">
        <v>376</v>
      </c>
      <c r="AC21" s="9" t="s">
        <v>461</v>
      </c>
      <c r="AD21" s="9" t="s">
        <v>462</v>
      </c>
      <c r="AE21" s="9" t="s">
        <v>463</v>
      </c>
      <c r="AF21" s="9" t="s">
        <v>463</v>
      </c>
      <c r="AG21" s="9" t="s">
        <v>463</v>
      </c>
      <c r="AH21" s="9" t="s">
        <v>463</v>
      </c>
      <c r="AI21" s="9" t="s">
        <v>463</v>
      </c>
      <c r="AJ21" s="9" t="s">
        <v>463</v>
      </c>
      <c r="AK21" s="9" t="s">
        <v>463</v>
      </c>
      <c r="AL21" s="9" t="s">
        <v>463</v>
      </c>
      <c r="AM21" s="9" t="s">
        <v>463</v>
      </c>
      <c r="AN21" s="9" t="s">
        <v>463</v>
      </c>
      <c r="AO21" s="9" t="s">
        <v>464</v>
      </c>
      <c r="AP21" s="9" t="s">
        <v>465</v>
      </c>
      <c r="AQ21" s="9" t="s">
        <v>466</v>
      </c>
      <c r="AR21" s="9" t="s">
        <v>467</v>
      </c>
      <c r="AS21" s="9" t="s">
        <v>468</v>
      </c>
      <c r="AT21" s="9" t="s">
        <v>469</v>
      </c>
      <c r="AU21" s="9" t="s">
        <v>470</v>
      </c>
      <c r="AV21" s="9" t="s">
        <v>471</v>
      </c>
      <c r="AW21" s="9" t="s">
        <v>472</v>
      </c>
      <c r="AX21" s="9" t="s">
        <v>473</v>
      </c>
      <c r="AY21" s="9" t="s">
        <v>473</v>
      </c>
      <c r="AZ21" s="9" t="s">
        <v>474</v>
      </c>
      <c r="BA21" s="9" t="s">
        <v>475</v>
      </c>
      <c r="BB21" s="9" t="s">
        <v>476</v>
      </c>
      <c r="BC21" s="9" t="s">
        <v>477</v>
      </c>
      <c r="BD21" s="9" t="s">
        <v>478</v>
      </c>
      <c r="BE21" s="9" t="s">
        <v>478</v>
      </c>
      <c r="BF21" s="9" t="s">
        <v>479</v>
      </c>
      <c r="BG21" s="9" t="s">
        <v>480</v>
      </c>
      <c r="BH21" s="9" t="s">
        <v>480</v>
      </c>
      <c r="BI21" s="9" t="s">
        <v>480</v>
      </c>
      <c r="BJ21" s="9" t="s">
        <v>480</v>
      </c>
      <c r="BK21" s="9" t="s">
        <v>480</v>
      </c>
      <c r="BL21" s="9" t="s">
        <v>480</v>
      </c>
      <c r="BM21" s="9" t="s">
        <v>480</v>
      </c>
      <c r="BN21" s="9" t="s">
        <v>480</v>
      </c>
      <c r="BO21" s="9" t="s">
        <v>480</v>
      </c>
      <c r="BP21" s="9" t="s">
        <v>480</v>
      </c>
      <c r="BQ21" s="9" t="s">
        <v>481</v>
      </c>
      <c r="BR21" s="9" t="s">
        <v>482</v>
      </c>
      <c r="BS21" s="9" t="s">
        <v>483</v>
      </c>
      <c r="BT21" s="9" t="s">
        <v>484</v>
      </c>
      <c r="BU21" s="9" t="s">
        <v>485</v>
      </c>
      <c r="BV21" s="9" t="s">
        <v>486</v>
      </c>
      <c r="BW21" s="9" t="s">
        <v>349</v>
      </c>
      <c r="BX21" s="9" t="s">
        <v>349</v>
      </c>
      <c r="BY21" s="9" t="s">
        <v>349</v>
      </c>
      <c r="BZ21" s="9" t="s">
        <v>349</v>
      </c>
      <c r="CA21" s="9" t="s">
        <v>349</v>
      </c>
      <c r="CB21" s="9" t="s">
        <v>349</v>
      </c>
      <c r="CC21" s="9" t="s">
        <v>349</v>
      </c>
      <c r="CD21" s="9" t="s">
        <v>349</v>
      </c>
      <c r="CE21" s="9" t="s">
        <v>349</v>
      </c>
      <c r="CF21" s="9" t="s">
        <v>349</v>
      </c>
      <c r="CG21" s="9" t="s">
        <v>349</v>
      </c>
      <c r="CH21" s="9" t="s">
        <v>349</v>
      </c>
      <c r="CI21" s="9" t="s">
        <v>349</v>
      </c>
      <c r="CJ21" s="9" t="s">
        <v>349</v>
      </c>
      <c r="CK21" s="9" t="s">
        <v>349</v>
      </c>
      <c r="CL21" s="9" t="s">
        <v>349</v>
      </c>
      <c r="CM21" s="9" t="s">
        <v>349</v>
      </c>
      <c r="CN21" s="9" t="s">
        <v>349</v>
      </c>
      <c r="CO21" s="9" t="s">
        <v>349</v>
      </c>
      <c r="CP21" s="9" t="s">
        <v>349</v>
      </c>
    </row>
    <row r="22" spans="1:94" ht="15.75" customHeight="1">
      <c r="A22" s="56" t="s">
        <v>312</v>
      </c>
      <c r="B22" s="9" t="s">
        <v>349</v>
      </c>
      <c r="C22" s="9" t="s">
        <v>379</v>
      </c>
      <c r="D22" s="9" t="s">
        <v>379</v>
      </c>
      <c r="E22" s="9" t="s">
        <v>379</v>
      </c>
      <c r="F22" s="9" t="s">
        <v>379</v>
      </c>
      <c r="G22" s="9" t="s">
        <v>379</v>
      </c>
      <c r="H22" s="9" t="s">
        <v>379</v>
      </c>
      <c r="I22" s="9" t="s">
        <v>379</v>
      </c>
      <c r="J22" s="9" t="s">
        <v>379</v>
      </c>
      <c r="K22" s="9" t="s">
        <v>379</v>
      </c>
      <c r="L22" s="9" t="s">
        <v>407</v>
      </c>
      <c r="M22" s="9" t="s">
        <v>434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s">
        <v>376</v>
      </c>
      <c r="AC22" s="9" t="s">
        <v>461</v>
      </c>
      <c r="AD22" s="9" t="s">
        <v>462</v>
      </c>
      <c r="AE22" s="9" t="s">
        <v>463</v>
      </c>
      <c r="AF22" s="9" t="s">
        <v>463</v>
      </c>
      <c r="AG22" s="9" t="s">
        <v>463</v>
      </c>
      <c r="AH22" s="9" t="s">
        <v>463</v>
      </c>
      <c r="AI22" s="9" t="s">
        <v>463</v>
      </c>
      <c r="AJ22" s="9" t="s">
        <v>463</v>
      </c>
      <c r="AK22" s="9" t="s">
        <v>463</v>
      </c>
      <c r="AL22" s="9" t="s">
        <v>463</v>
      </c>
      <c r="AM22" s="9" t="s">
        <v>463</v>
      </c>
      <c r="AN22" s="9" t="s">
        <v>463</v>
      </c>
      <c r="AO22" s="9" t="s">
        <v>464</v>
      </c>
      <c r="AP22" s="9" t="s">
        <v>465</v>
      </c>
      <c r="AQ22" s="9" t="s">
        <v>466</v>
      </c>
      <c r="AR22" s="9" t="s">
        <v>467</v>
      </c>
      <c r="AS22" s="9" t="s">
        <v>468</v>
      </c>
      <c r="AT22" s="9" t="s">
        <v>469</v>
      </c>
      <c r="AU22" s="9" t="s">
        <v>470</v>
      </c>
      <c r="AV22" s="9" t="s">
        <v>471</v>
      </c>
      <c r="AW22" s="9" t="s">
        <v>472</v>
      </c>
      <c r="AX22" s="9" t="s">
        <v>473</v>
      </c>
      <c r="AY22" s="9" t="s">
        <v>473</v>
      </c>
      <c r="AZ22" s="9" t="s">
        <v>474</v>
      </c>
      <c r="BA22" s="9" t="s">
        <v>475</v>
      </c>
      <c r="BB22" s="9" t="s">
        <v>476</v>
      </c>
      <c r="BC22" s="9" t="s">
        <v>477</v>
      </c>
      <c r="BD22" s="9" t="s">
        <v>478</v>
      </c>
      <c r="BE22" s="9" t="s">
        <v>478</v>
      </c>
      <c r="BF22" s="9" t="s">
        <v>479</v>
      </c>
      <c r="BG22" s="9" t="s">
        <v>480</v>
      </c>
      <c r="BH22" s="9" t="s">
        <v>480</v>
      </c>
      <c r="BI22" s="9" t="s">
        <v>480</v>
      </c>
      <c r="BJ22" s="9" t="s">
        <v>480</v>
      </c>
      <c r="BK22" s="9" t="s">
        <v>480</v>
      </c>
      <c r="BL22" s="9" t="s">
        <v>480</v>
      </c>
      <c r="BM22" s="9" t="s">
        <v>480</v>
      </c>
      <c r="BN22" s="9" t="s">
        <v>480</v>
      </c>
      <c r="BO22" s="9" t="s">
        <v>480</v>
      </c>
      <c r="BP22" s="9" t="s">
        <v>480</v>
      </c>
      <c r="BQ22" s="9" t="s">
        <v>481</v>
      </c>
      <c r="BR22" s="9" t="s">
        <v>482</v>
      </c>
      <c r="BS22" s="9" t="s">
        <v>483</v>
      </c>
      <c r="BT22" s="9" t="s">
        <v>484</v>
      </c>
      <c r="BU22" s="9" t="s">
        <v>485</v>
      </c>
      <c r="BV22" s="9" t="s">
        <v>486</v>
      </c>
      <c r="BW22" s="9" t="s">
        <v>349</v>
      </c>
      <c r="BX22" s="9" t="s">
        <v>349</v>
      </c>
      <c r="BY22" s="9" t="s">
        <v>349</v>
      </c>
      <c r="BZ22" s="9" t="s">
        <v>349</v>
      </c>
      <c r="CA22" s="9" t="s">
        <v>349</v>
      </c>
      <c r="CB22" s="9" t="s">
        <v>349</v>
      </c>
      <c r="CC22" s="9" t="s">
        <v>349</v>
      </c>
      <c r="CD22" s="9" t="s">
        <v>349</v>
      </c>
      <c r="CE22" s="9" t="s">
        <v>349</v>
      </c>
      <c r="CF22" s="9" t="s">
        <v>349</v>
      </c>
      <c r="CG22" s="9" t="s">
        <v>349</v>
      </c>
      <c r="CH22" s="9" t="s">
        <v>349</v>
      </c>
      <c r="CI22" s="9" t="s">
        <v>349</v>
      </c>
      <c r="CJ22" s="9" t="s">
        <v>349</v>
      </c>
      <c r="CK22" s="9" t="s">
        <v>349</v>
      </c>
      <c r="CL22" s="9" t="s">
        <v>349</v>
      </c>
      <c r="CM22" s="9" t="s">
        <v>349</v>
      </c>
      <c r="CN22" s="9" t="s">
        <v>349</v>
      </c>
      <c r="CO22" s="9" t="s">
        <v>349</v>
      </c>
      <c r="CP22" s="9" t="s">
        <v>349</v>
      </c>
    </row>
    <row r="23" spans="1:94" ht="15.75" customHeight="1">
      <c r="A23" s="56" t="s">
        <v>313</v>
      </c>
      <c r="B23" s="9" t="s">
        <v>349</v>
      </c>
      <c r="C23" s="9" t="s">
        <v>379</v>
      </c>
      <c r="D23" s="9" t="s">
        <v>379</v>
      </c>
      <c r="E23" s="9" t="s">
        <v>379</v>
      </c>
      <c r="F23" s="9" t="s">
        <v>379</v>
      </c>
      <c r="G23" s="9" t="s">
        <v>379</v>
      </c>
      <c r="H23" s="9" t="s">
        <v>379</v>
      </c>
      <c r="I23" s="9" t="s">
        <v>379</v>
      </c>
      <c r="J23" s="9" t="s">
        <v>379</v>
      </c>
      <c r="K23" s="9" t="s">
        <v>379</v>
      </c>
      <c r="L23" s="9" t="s">
        <v>407</v>
      </c>
      <c r="M23" s="9" t="s">
        <v>434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s">
        <v>376</v>
      </c>
      <c r="AC23" s="9" t="s">
        <v>461</v>
      </c>
      <c r="AD23" s="9" t="s">
        <v>462</v>
      </c>
      <c r="AE23" s="9" t="s">
        <v>463</v>
      </c>
      <c r="AF23" s="9" t="s">
        <v>463</v>
      </c>
      <c r="AG23" s="9" t="s">
        <v>463</v>
      </c>
      <c r="AH23" s="9" t="s">
        <v>463</v>
      </c>
      <c r="AI23" s="9" t="s">
        <v>463</v>
      </c>
      <c r="AJ23" s="9" t="s">
        <v>463</v>
      </c>
      <c r="AK23" s="9" t="s">
        <v>463</v>
      </c>
      <c r="AL23" s="9" t="s">
        <v>463</v>
      </c>
      <c r="AM23" s="9" t="s">
        <v>463</v>
      </c>
      <c r="AN23" s="9" t="s">
        <v>463</v>
      </c>
      <c r="AO23" s="9" t="s">
        <v>464</v>
      </c>
      <c r="AP23" s="9" t="s">
        <v>465</v>
      </c>
      <c r="AQ23" s="9" t="s">
        <v>466</v>
      </c>
      <c r="AR23" s="9" t="s">
        <v>467</v>
      </c>
      <c r="AS23" s="9" t="s">
        <v>468</v>
      </c>
      <c r="AT23" s="9" t="s">
        <v>469</v>
      </c>
      <c r="AU23" s="9" t="s">
        <v>470</v>
      </c>
      <c r="AV23" s="9" t="s">
        <v>471</v>
      </c>
      <c r="AW23" s="9" t="s">
        <v>472</v>
      </c>
      <c r="AX23" s="9" t="s">
        <v>473</v>
      </c>
      <c r="AY23" s="9" t="s">
        <v>473</v>
      </c>
      <c r="AZ23" s="9" t="s">
        <v>474</v>
      </c>
      <c r="BA23" s="9" t="s">
        <v>475</v>
      </c>
      <c r="BB23" s="9" t="s">
        <v>476</v>
      </c>
      <c r="BC23" s="9" t="s">
        <v>477</v>
      </c>
      <c r="BD23" s="9" t="s">
        <v>478</v>
      </c>
      <c r="BE23" s="9" t="s">
        <v>478</v>
      </c>
      <c r="BF23" s="9" t="s">
        <v>479</v>
      </c>
      <c r="BG23" s="9" t="s">
        <v>480</v>
      </c>
      <c r="BH23" s="9" t="s">
        <v>480</v>
      </c>
      <c r="BI23" s="9" t="s">
        <v>480</v>
      </c>
      <c r="BJ23" s="9" t="s">
        <v>480</v>
      </c>
      <c r="BK23" s="9" t="s">
        <v>480</v>
      </c>
      <c r="BL23" s="9" t="s">
        <v>480</v>
      </c>
      <c r="BM23" s="9" t="s">
        <v>480</v>
      </c>
      <c r="BN23" s="9" t="s">
        <v>480</v>
      </c>
      <c r="BO23" s="9" t="s">
        <v>480</v>
      </c>
      <c r="BP23" s="9" t="s">
        <v>480</v>
      </c>
      <c r="BQ23" s="9" t="s">
        <v>481</v>
      </c>
      <c r="BR23" s="9" t="s">
        <v>482</v>
      </c>
      <c r="BS23" s="9" t="s">
        <v>483</v>
      </c>
      <c r="BT23" s="9" t="s">
        <v>484</v>
      </c>
      <c r="BU23" s="9" t="s">
        <v>485</v>
      </c>
      <c r="BV23" s="9" t="s">
        <v>486</v>
      </c>
      <c r="BW23" s="9" t="s">
        <v>349</v>
      </c>
      <c r="BX23" s="9" t="s">
        <v>349</v>
      </c>
      <c r="BY23" s="9" t="s">
        <v>349</v>
      </c>
      <c r="BZ23" s="9" t="s">
        <v>349</v>
      </c>
      <c r="CA23" s="9" t="s">
        <v>349</v>
      </c>
      <c r="CB23" s="9" t="s">
        <v>349</v>
      </c>
      <c r="CC23" s="9" t="s">
        <v>349</v>
      </c>
      <c r="CD23" s="9" t="s">
        <v>349</v>
      </c>
      <c r="CE23" s="9" t="s">
        <v>349</v>
      </c>
      <c r="CF23" s="9" t="s">
        <v>349</v>
      </c>
      <c r="CG23" s="9" t="s">
        <v>349</v>
      </c>
      <c r="CH23" s="9" t="s">
        <v>349</v>
      </c>
      <c r="CI23" s="9" t="s">
        <v>349</v>
      </c>
      <c r="CJ23" s="9" t="s">
        <v>349</v>
      </c>
      <c r="CK23" s="9" t="s">
        <v>349</v>
      </c>
      <c r="CL23" s="9" t="s">
        <v>349</v>
      </c>
      <c r="CM23" s="9" t="s">
        <v>349</v>
      </c>
      <c r="CN23" s="9" t="s">
        <v>349</v>
      </c>
      <c r="CO23" s="9" t="s">
        <v>349</v>
      </c>
      <c r="CP23" s="9" t="s">
        <v>349</v>
      </c>
    </row>
    <row r="24" spans="1:94" ht="15.75" customHeight="1">
      <c r="A24" s="56" t="s">
        <v>314</v>
      </c>
      <c r="B24" s="9" t="s">
        <v>349</v>
      </c>
      <c r="C24" s="9" t="s">
        <v>379</v>
      </c>
      <c r="D24" s="9" t="s">
        <v>379</v>
      </c>
      <c r="E24" s="9" t="s">
        <v>379</v>
      </c>
      <c r="F24" s="9" t="s">
        <v>379</v>
      </c>
      <c r="G24" s="9" t="s">
        <v>379</v>
      </c>
      <c r="H24" s="9" t="s">
        <v>379</v>
      </c>
      <c r="I24" s="9" t="s">
        <v>379</v>
      </c>
      <c r="J24" s="9" t="s">
        <v>379</v>
      </c>
      <c r="K24" s="9" t="s">
        <v>379</v>
      </c>
      <c r="L24" s="9" t="s">
        <v>407</v>
      </c>
      <c r="M24" s="9" t="s">
        <v>434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s">
        <v>376</v>
      </c>
      <c r="AC24" s="9" t="s">
        <v>461</v>
      </c>
      <c r="AD24" s="9" t="s">
        <v>462</v>
      </c>
      <c r="AE24" s="9" t="s">
        <v>463</v>
      </c>
      <c r="AF24" s="9" t="s">
        <v>463</v>
      </c>
      <c r="AG24" s="9" t="s">
        <v>463</v>
      </c>
      <c r="AH24" s="9" t="s">
        <v>463</v>
      </c>
      <c r="AI24" s="9" t="s">
        <v>463</v>
      </c>
      <c r="AJ24" s="9" t="s">
        <v>463</v>
      </c>
      <c r="AK24" s="9" t="s">
        <v>463</v>
      </c>
      <c r="AL24" s="9" t="s">
        <v>463</v>
      </c>
      <c r="AM24" s="9" t="s">
        <v>463</v>
      </c>
      <c r="AN24" s="9" t="s">
        <v>463</v>
      </c>
      <c r="AO24" s="9" t="s">
        <v>464</v>
      </c>
      <c r="AP24" s="9" t="s">
        <v>465</v>
      </c>
      <c r="AQ24" s="9" t="s">
        <v>466</v>
      </c>
      <c r="AR24" s="9" t="s">
        <v>467</v>
      </c>
      <c r="AS24" s="9" t="s">
        <v>468</v>
      </c>
      <c r="AT24" s="9" t="s">
        <v>469</v>
      </c>
      <c r="AU24" s="9" t="s">
        <v>470</v>
      </c>
      <c r="AV24" s="9" t="s">
        <v>471</v>
      </c>
      <c r="AW24" s="9" t="s">
        <v>472</v>
      </c>
      <c r="AX24" s="9" t="s">
        <v>473</v>
      </c>
      <c r="AY24" s="9" t="s">
        <v>473</v>
      </c>
      <c r="AZ24" s="9" t="s">
        <v>474</v>
      </c>
      <c r="BA24" s="9" t="s">
        <v>475</v>
      </c>
      <c r="BB24" s="9" t="s">
        <v>476</v>
      </c>
      <c r="BC24" s="9" t="s">
        <v>477</v>
      </c>
      <c r="BD24" s="9" t="s">
        <v>478</v>
      </c>
      <c r="BE24" s="9" t="s">
        <v>478</v>
      </c>
      <c r="BF24" s="9" t="s">
        <v>479</v>
      </c>
      <c r="BG24" s="9" t="s">
        <v>480</v>
      </c>
      <c r="BH24" s="9" t="s">
        <v>480</v>
      </c>
      <c r="BI24" s="9" t="s">
        <v>480</v>
      </c>
      <c r="BJ24" s="9" t="s">
        <v>480</v>
      </c>
      <c r="BK24" s="9" t="s">
        <v>480</v>
      </c>
      <c r="BL24" s="9" t="s">
        <v>480</v>
      </c>
      <c r="BM24" s="9" t="s">
        <v>480</v>
      </c>
      <c r="BN24" s="9" t="s">
        <v>480</v>
      </c>
      <c r="BO24" s="9" t="s">
        <v>480</v>
      </c>
      <c r="BP24" s="9" t="s">
        <v>480</v>
      </c>
      <c r="BQ24" s="9" t="s">
        <v>481</v>
      </c>
      <c r="BR24" s="9" t="s">
        <v>482</v>
      </c>
      <c r="BS24" s="9" t="s">
        <v>483</v>
      </c>
      <c r="BT24" s="9" t="s">
        <v>484</v>
      </c>
      <c r="BU24" s="9" t="s">
        <v>485</v>
      </c>
      <c r="BV24" s="9" t="s">
        <v>486</v>
      </c>
      <c r="BW24" s="9" t="s">
        <v>349</v>
      </c>
      <c r="BX24" s="9" t="s">
        <v>349</v>
      </c>
      <c r="BY24" s="9" t="s">
        <v>349</v>
      </c>
      <c r="BZ24" s="9" t="s">
        <v>349</v>
      </c>
      <c r="CA24" s="9" t="s">
        <v>349</v>
      </c>
      <c r="CB24" s="9" t="s">
        <v>349</v>
      </c>
      <c r="CC24" s="9" t="s">
        <v>349</v>
      </c>
      <c r="CD24" s="9" t="s">
        <v>349</v>
      </c>
      <c r="CE24" s="9" t="s">
        <v>349</v>
      </c>
      <c r="CF24" s="9" t="s">
        <v>349</v>
      </c>
      <c r="CG24" s="9" t="s">
        <v>349</v>
      </c>
      <c r="CH24" s="9" t="s">
        <v>349</v>
      </c>
      <c r="CI24" s="9" t="s">
        <v>349</v>
      </c>
      <c r="CJ24" s="9" t="s">
        <v>349</v>
      </c>
      <c r="CK24" s="9" t="s">
        <v>349</v>
      </c>
      <c r="CL24" s="9" t="s">
        <v>349</v>
      </c>
      <c r="CM24" s="9" t="s">
        <v>349</v>
      </c>
      <c r="CN24" s="9" t="s">
        <v>349</v>
      </c>
      <c r="CO24" s="9" t="s">
        <v>349</v>
      </c>
      <c r="CP24" s="9" t="s">
        <v>349</v>
      </c>
    </row>
    <row r="25" spans="1:94" ht="15.75" customHeight="1">
      <c r="A25" s="56" t="s">
        <v>315</v>
      </c>
      <c r="B25" s="9" t="s">
        <v>349</v>
      </c>
      <c r="C25" s="9" t="s">
        <v>379</v>
      </c>
      <c r="D25" s="9" t="s">
        <v>379</v>
      </c>
      <c r="E25" s="9" t="s">
        <v>379</v>
      </c>
      <c r="F25" s="9" t="s">
        <v>379</v>
      </c>
      <c r="G25" s="9" t="s">
        <v>379</v>
      </c>
      <c r="H25" s="9" t="s">
        <v>379</v>
      </c>
      <c r="I25" s="9" t="s">
        <v>379</v>
      </c>
      <c r="J25" s="9" t="s">
        <v>379</v>
      </c>
      <c r="K25" s="9" t="s">
        <v>379</v>
      </c>
      <c r="L25" s="9" t="s">
        <v>407</v>
      </c>
      <c r="M25" s="9" t="s">
        <v>434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s">
        <v>376</v>
      </c>
      <c r="AC25" s="9" t="s">
        <v>461</v>
      </c>
      <c r="AD25" s="9" t="s">
        <v>462</v>
      </c>
      <c r="AE25" s="9" t="s">
        <v>463</v>
      </c>
      <c r="AF25" s="9" t="s">
        <v>463</v>
      </c>
      <c r="AG25" s="9" t="s">
        <v>463</v>
      </c>
      <c r="AH25" s="9" t="s">
        <v>463</v>
      </c>
      <c r="AI25" s="9" t="s">
        <v>463</v>
      </c>
      <c r="AJ25" s="9" t="s">
        <v>463</v>
      </c>
      <c r="AK25" s="9" t="s">
        <v>463</v>
      </c>
      <c r="AL25" s="9" t="s">
        <v>463</v>
      </c>
      <c r="AM25" s="9" t="s">
        <v>463</v>
      </c>
      <c r="AN25" s="9" t="s">
        <v>463</v>
      </c>
      <c r="AO25" s="9" t="s">
        <v>464</v>
      </c>
      <c r="AP25" s="9" t="s">
        <v>465</v>
      </c>
      <c r="AQ25" s="9" t="s">
        <v>466</v>
      </c>
      <c r="AR25" s="9" t="s">
        <v>467</v>
      </c>
      <c r="AS25" s="9" t="s">
        <v>468</v>
      </c>
      <c r="AT25" s="9" t="s">
        <v>469</v>
      </c>
      <c r="AU25" s="9" t="s">
        <v>470</v>
      </c>
      <c r="AV25" s="9" t="s">
        <v>471</v>
      </c>
      <c r="AW25" s="9" t="s">
        <v>472</v>
      </c>
      <c r="AX25" s="9" t="s">
        <v>473</v>
      </c>
      <c r="AY25" s="9" t="s">
        <v>473</v>
      </c>
      <c r="AZ25" s="9" t="s">
        <v>474</v>
      </c>
      <c r="BA25" s="9" t="s">
        <v>475</v>
      </c>
      <c r="BB25" s="9" t="s">
        <v>476</v>
      </c>
      <c r="BC25" s="9" t="s">
        <v>477</v>
      </c>
      <c r="BD25" s="9" t="s">
        <v>478</v>
      </c>
      <c r="BE25" s="9" t="s">
        <v>478</v>
      </c>
      <c r="BF25" s="9" t="s">
        <v>479</v>
      </c>
      <c r="BG25" s="9" t="s">
        <v>480</v>
      </c>
      <c r="BH25" s="9" t="s">
        <v>480</v>
      </c>
      <c r="BI25" s="9" t="s">
        <v>480</v>
      </c>
      <c r="BJ25" s="9" t="s">
        <v>480</v>
      </c>
      <c r="BK25" s="9" t="s">
        <v>480</v>
      </c>
      <c r="BL25" s="9" t="s">
        <v>480</v>
      </c>
      <c r="BM25" s="9" t="s">
        <v>480</v>
      </c>
      <c r="BN25" s="9" t="s">
        <v>480</v>
      </c>
      <c r="BO25" s="9" t="s">
        <v>480</v>
      </c>
      <c r="BP25" s="9" t="s">
        <v>480</v>
      </c>
      <c r="BQ25" s="9" t="s">
        <v>481</v>
      </c>
      <c r="BR25" s="9" t="s">
        <v>482</v>
      </c>
      <c r="BS25" s="9" t="s">
        <v>483</v>
      </c>
      <c r="BT25" s="9" t="s">
        <v>484</v>
      </c>
      <c r="BU25" s="9" t="s">
        <v>485</v>
      </c>
      <c r="BV25" s="9" t="s">
        <v>486</v>
      </c>
      <c r="BW25" s="9" t="s">
        <v>349</v>
      </c>
      <c r="BX25" s="9" t="s">
        <v>349</v>
      </c>
      <c r="BY25" s="9" t="s">
        <v>349</v>
      </c>
      <c r="BZ25" s="9" t="s">
        <v>349</v>
      </c>
      <c r="CA25" s="9" t="s">
        <v>349</v>
      </c>
      <c r="CB25" s="9" t="s">
        <v>349</v>
      </c>
      <c r="CC25" s="9" t="s">
        <v>349</v>
      </c>
      <c r="CD25" s="9" t="s">
        <v>349</v>
      </c>
      <c r="CE25" s="9" t="s">
        <v>349</v>
      </c>
      <c r="CF25" s="9" t="s">
        <v>349</v>
      </c>
      <c r="CG25" s="9" t="s">
        <v>349</v>
      </c>
      <c r="CH25" s="9" t="s">
        <v>349</v>
      </c>
      <c r="CI25" s="9" t="s">
        <v>349</v>
      </c>
      <c r="CJ25" s="9" t="s">
        <v>349</v>
      </c>
      <c r="CK25" s="9" t="s">
        <v>349</v>
      </c>
      <c r="CL25" s="9" t="s">
        <v>349</v>
      </c>
      <c r="CM25" s="9" t="s">
        <v>349</v>
      </c>
      <c r="CN25" s="9" t="s">
        <v>349</v>
      </c>
      <c r="CO25" s="9" t="s">
        <v>349</v>
      </c>
      <c r="CP25" s="9" t="s">
        <v>349</v>
      </c>
    </row>
    <row r="26" spans="1:94" ht="15.75" customHeight="1">
      <c r="A26" s="56" t="s">
        <v>316</v>
      </c>
      <c r="B26" s="9" t="s">
        <v>349</v>
      </c>
      <c r="C26" s="9" t="s">
        <v>379</v>
      </c>
      <c r="D26" s="9" t="s">
        <v>379</v>
      </c>
      <c r="E26" s="9" t="s">
        <v>379</v>
      </c>
      <c r="F26" s="9" t="s">
        <v>379</v>
      </c>
      <c r="G26" s="9" t="s">
        <v>379</v>
      </c>
      <c r="H26" s="9" t="s">
        <v>379</v>
      </c>
      <c r="I26" s="9" t="s">
        <v>379</v>
      </c>
      <c r="J26" s="9" t="s">
        <v>379</v>
      </c>
      <c r="K26" s="9" t="s">
        <v>379</v>
      </c>
      <c r="L26" s="9" t="s">
        <v>407</v>
      </c>
      <c r="M26" s="9" t="s">
        <v>434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s">
        <v>376</v>
      </c>
      <c r="AC26" s="9" t="s">
        <v>461</v>
      </c>
      <c r="AD26" s="9" t="s">
        <v>462</v>
      </c>
      <c r="AE26" s="9" t="s">
        <v>463</v>
      </c>
      <c r="AF26" s="9" t="s">
        <v>463</v>
      </c>
      <c r="AG26" s="9" t="s">
        <v>463</v>
      </c>
      <c r="AH26" s="9" t="s">
        <v>463</v>
      </c>
      <c r="AI26" s="9" t="s">
        <v>463</v>
      </c>
      <c r="AJ26" s="9" t="s">
        <v>463</v>
      </c>
      <c r="AK26" s="9" t="s">
        <v>463</v>
      </c>
      <c r="AL26" s="9" t="s">
        <v>463</v>
      </c>
      <c r="AM26" s="9" t="s">
        <v>463</v>
      </c>
      <c r="AN26" s="9" t="s">
        <v>463</v>
      </c>
      <c r="AO26" s="9" t="s">
        <v>464</v>
      </c>
      <c r="AP26" s="9" t="s">
        <v>465</v>
      </c>
      <c r="AQ26" s="9" t="s">
        <v>466</v>
      </c>
      <c r="AR26" s="9" t="s">
        <v>467</v>
      </c>
      <c r="AS26" s="9" t="s">
        <v>468</v>
      </c>
      <c r="AT26" s="9" t="s">
        <v>469</v>
      </c>
      <c r="AU26" s="9" t="s">
        <v>470</v>
      </c>
      <c r="AV26" s="9" t="s">
        <v>471</v>
      </c>
      <c r="AW26" s="9" t="s">
        <v>472</v>
      </c>
      <c r="AX26" s="9" t="s">
        <v>473</v>
      </c>
      <c r="AY26" s="9" t="s">
        <v>473</v>
      </c>
      <c r="AZ26" s="9" t="s">
        <v>474</v>
      </c>
      <c r="BA26" s="9" t="s">
        <v>475</v>
      </c>
      <c r="BB26" s="9" t="s">
        <v>476</v>
      </c>
      <c r="BC26" s="9" t="s">
        <v>477</v>
      </c>
      <c r="BD26" s="9" t="s">
        <v>478</v>
      </c>
      <c r="BE26" s="9" t="s">
        <v>478</v>
      </c>
      <c r="BF26" s="9" t="s">
        <v>479</v>
      </c>
      <c r="BG26" s="9" t="s">
        <v>480</v>
      </c>
      <c r="BH26" s="9" t="s">
        <v>480</v>
      </c>
      <c r="BI26" s="9" t="s">
        <v>480</v>
      </c>
      <c r="BJ26" s="9" t="s">
        <v>480</v>
      </c>
      <c r="BK26" s="9" t="s">
        <v>480</v>
      </c>
      <c r="BL26" s="9" t="s">
        <v>480</v>
      </c>
      <c r="BM26" s="9" t="s">
        <v>480</v>
      </c>
      <c r="BN26" s="9" t="s">
        <v>480</v>
      </c>
      <c r="BO26" s="9" t="s">
        <v>480</v>
      </c>
      <c r="BP26" s="9" t="s">
        <v>480</v>
      </c>
      <c r="BQ26" s="9" t="s">
        <v>481</v>
      </c>
      <c r="BR26" s="9" t="s">
        <v>482</v>
      </c>
      <c r="BS26" s="9" t="s">
        <v>483</v>
      </c>
      <c r="BT26" s="9" t="s">
        <v>484</v>
      </c>
      <c r="BU26" s="9" t="s">
        <v>485</v>
      </c>
      <c r="BV26" s="9" t="s">
        <v>486</v>
      </c>
      <c r="BW26" s="9" t="s">
        <v>349</v>
      </c>
      <c r="BX26" s="9" t="s">
        <v>349</v>
      </c>
      <c r="BY26" s="9" t="s">
        <v>349</v>
      </c>
      <c r="BZ26" s="9" t="s">
        <v>349</v>
      </c>
      <c r="CA26" s="9" t="s">
        <v>349</v>
      </c>
      <c r="CB26" s="9" t="s">
        <v>349</v>
      </c>
      <c r="CC26" s="9" t="s">
        <v>349</v>
      </c>
      <c r="CD26" s="9" t="s">
        <v>349</v>
      </c>
      <c r="CE26" s="9" t="s">
        <v>349</v>
      </c>
      <c r="CF26" s="9" t="s">
        <v>349</v>
      </c>
      <c r="CG26" s="9" t="s">
        <v>349</v>
      </c>
      <c r="CH26" s="9" t="s">
        <v>349</v>
      </c>
      <c r="CI26" s="9" t="s">
        <v>349</v>
      </c>
      <c r="CJ26" s="9" t="s">
        <v>349</v>
      </c>
      <c r="CK26" s="9" t="s">
        <v>349</v>
      </c>
      <c r="CL26" s="9" t="s">
        <v>349</v>
      </c>
      <c r="CM26" s="9" t="s">
        <v>349</v>
      </c>
      <c r="CN26" s="9" t="s">
        <v>349</v>
      </c>
      <c r="CO26" s="9" t="s">
        <v>349</v>
      </c>
      <c r="CP26" s="9" t="s">
        <v>349</v>
      </c>
    </row>
    <row r="27" spans="1:94" ht="15.75" customHeight="1">
      <c r="A27" s="56" t="s">
        <v>317</v>
      </c>
      <c r="B27" s="9" t="s">
        <v>349</v>
      </c>
      <c r="C27" s="9" t="s">
        <v>379</v>
      </c>
      <c r="D27" s="9" t="s">
        <v>379</v>
      </c>
      <c r="E27" s="9" t="s">
        <v>379</v>
      </c>
      <c r="F27" s="9" t="s">
        <v>379</v>
      </c>
      <c r="G27" s="9" t="s">
        <v>379</v>
      </c>
      <c r="H27" s="9" t="s">
        <v>379</v>
      </c>
      <c r="I27" s="9" t="s">
        <v>379</v>
      </c>
      <c r="J27" s="9" t="s">
        <v>379</v>
      </c>
      <c r="K27" s="9" t="s">
        <v>379</v>
      </c>
      <c r="L27" s="9" t="s">
        <v>407</v>
      </c>
      <c r="M27" s="9" t="s">
        <v>434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s">
        <v>376</v>
      </c>
      <c r="AC27" s="9" t="s">
        <v>461</v>
      </c>
      <c r="AD27" s="9" t="s">
        <v>462</v>
      </c>
      <c r="AE27" s="9" t="s">
        <v>463</v>
      </c>
      <c r="AF27" s="9" t="s">
        <v>463</v>
      </c>
      <c r="AG27" s="9" t="s">
        <v>463</v>
      </c>
      <c r="AH27" s="9" t="s">
        <v>463</v>
      </c>
      <c r="AI27" s="9" t="s">
        <v>463</v>
      </c>
      <c r="AJ27" s="9" t="s">
        <v>463</v>
      </c>
      <c r="AK27" s="9" t="s">
        <v>463</v>
      </c>
      <c r="AL27" s="9" t="s">
        <v>463</v>
      </c>
      <c r="AM27" s="9" t="s">
        <v>463</v>
      </c>
      <c r="AN27" s="9" t="s">
        <v>463</v>
      </c>
      <c r="AO27" s="9" t="s">
        <v>464</v>
      </c>
      <c r="AP27" s="9" t="s">
        <v>465</v>
      </c>
      <c r="AQ27" s="9" t="s">
        <v>466</v>
      </c>
      <c r="AR27" s="9" t="s">
        <v>467</v>
      </c>
      <c r="AS27" s="9" t="s">
        <v>468</v>
      </c>
      <c r="AT27" s="9" t="s">
        <v>469</v>
      </c>
      <c r="AU27" s="9" t="s">
        <v>470</v>
      </c>
      <c r="AV27" s="9" t="s">
        <v>471</v>
      </c>
      <c r="AW27" s="9" t="s">
        <v>472</v>
      </c>
      <c r="AX27" s="9" t="s">
        <v>473</v>
      </c>
      <c r="AY27" s="9" t="s">
        <v>473</v>
      </c>
      <c r="AZ27" s="9" t="s">
        <v>474</v>
      </c>
      <c r="BA27" s="9" t="s">
        <v>475</v>
      </c>
      <c r="BB27" s="9" t="s">
        <v>476</v>
      </c>
      <c r="BC27" s="9" t="s">
        <v>477</v>
      </c>
      <c r="BD27" s="9" t="s">
        <v>478</v>
      </c>
      <c r="BE27" s="9" t="s">
        <v>478</v>
      </c>
      <c r="BF27" s="9" t="s">
        <v>479</v>
      </c>
      <c r="BG27" s="9" t="s">
        <v>480</v>
      </c>
      <c r="BH27" s="9" t="s">
        <v>480</v>
      </c>
      <c r="BI27" s="9" t="s">
        <v>480</v>
      </c>
      <c r="BJ27" s="9" t="s">
        <v>480</v>
      </c>
      <c r="BK27" s="9" t="s">
        <v>480</v>
      </c>
      <c r="BL27" s="9" t="s">
        <v>480</v>
      </c>
      <c r="BM27" s="9" t="s">
        <v>480</v>
      </c>
      <c r="BN27" s="9" t="s">
        <v>480</v>
      </c>
      <c r="BO27" s="9" t="s">
        <v>480</v>
      </c>
      <c r="BP27" s="9" t="s">
        <v>480</v>
      </c>
      <c r="BQ27" s="9" t="s">
        <v>481</v>
      </c>
      <c r="BR27" s="9" t="s">
        <v>482</v>
      </c>
      <c r="BS27" s="9" t="s">
        <v>483</v>
      </c>
      <c r="BT27" s="9" t="s">
        <v>484</v>
      </c>
      <c r="BU27" s="9" t="s">
        <v>485</v>
      </c>
      <c r="BV27" s="9" t="s">
        <v>486</v>
      </c>
      <c r="BW27" s="9" t="s">
        <v>349</v>
      </c>
      <c r="BX27" s="9" t="s">
        <v>349</v>
      </c>
      <c r="BY27" s="9" t="s">
        <v>349</v>
      </c>
      <c r="BZ27" s="9" t="s">
        <v>349</v>
      </c>
      <c r="CA27" s="9" t="s">
        <v>349</v>
      </c>
      <c r="CB27" s="9" t="s">
        <v>349</v>
      </c>
      <c r="CC27" s="9" t="s">
        <v>349</v>
      </c>
      <c r="CD27" s="9" t="s">
        <v>349</v>
      </c>
      <c r="CE27" s="9" t="s">
        <v>349</v>
      </c>
      <c r="CF27" s="9" t="s">
        <v>349</v>
      </c>
      <c r="CG27" s="9" t="s">
        <v>349</v>
      </c>
      <c r="CH27" s="9" t="s">
        <v>349</v>
      </c>
      <c r="CI27" s="9" t="s">
        <v>349</v>
      </c>
      <c r="CJ27" s="9" t="s">
        <v>349</v>
      </c>
      <c r="CK27" s="9" t="s">
        <v>349</v>
      </c>
      <c r="CL27" s="9" t="s">
        <v>349</v>
      </c>
      <c r="CM27" s="9" t="s">
        <v>349</v>
      </c>
      <c r="CN27" s="9" t="s">
        <v>349</v>
      </c>
      <c r="CO27" s="9" t="s">
        <v>349</v>
      </c>
      <c r="CP27" s="9" t="s">
        <v>349</v>
      </c>
    </row>
    <row r="28" spans="1:94" ht="15.75" customHeight="1">
      <c r="A28" s="56" t="s">
        <v>318</v>
      </c>
      <c r="B28" s="9" t="s">
        <v>349</v>
      </c>
      <c r="C28" s="9" t="s">
        <v>379</v>
      </c>
      <c r="D28" s="9" t="s">
        <v>379</v>
      </c>
      <c r="E28" s="9" t="s">
        <v>379</v>
      </c>
      <c r="F28" s="9" t="s">
        <v>379</v>
      </c>
      <c r="G28" s="9" t="s">
        <v>379</v>
      </c>
      <c r="H28" s="9" t="s">
        <v>379</v>
      </c>
      <c r="I28" s="9" t="s">
        <v>379</v>
      </c>
      <c r="J28" s="9" t="s">
        <v>379</v>
      </c>
      <c r="K28" s="9" t="s">
        <v>379</v>
      </c>
      <c r="L28" s="9" t="s">
        <v>407</v>
      </c>
      <c r="M28" s="9" t="s">
        <v>434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s">
        <v>376</v>
      </c>
      <c r="AC28" s="9" t="s">
        <v>461</v>
      </c>
      <c r="AD28" s="9" t="s">
        <v>462</v>
      </c>
      <c r="AE28" s="9" t="s">
        <v>463</v>
      </c>
      <c r="AF28" s="9" t="s">
        <v>463</v>
      </c>
      <c r="AG28" s="9" t="s">
        <v>463</v>
      </c>
      <c r="AH28" s="9" t="s">
        <v>463</v>
      </c>
      <c r="AI28" s="9" t="s">
        <v>463</v>
      </c>
      <c r="AJ28" s="9" t="s">
        <v>463</v>
      </c>
      <c r="AK28" s="9" t="s">
        <v>463</v>
      </c>
      <c r="AL28" s="9" t="s">
        <v>463</v>
      </c>
      <c r="AM28" s="9" t="s">
        <v>463</v>
      </c>
      <c r="AN28" s="9" t="s">
        <v>463</v>
      </c>
      <c r="AO28" s="9" t="s">
        <v>464</v>
      </c>
      <c r="AP28" s="9" t="s">
        <v>465</v>
      </c>
      <c r="AQ28" s="9" t="s">
        <v>466</v>
      </c>
      <c r="AR28" s="9" t="s">
        <v>467</v>
      </c>
      <c r="AS28" s="9" t="s">
        <v>468</v>
      </c>
      <c r="AT28" s="9" t="s">
        <v>469</v>
      </c>
      <c r="AU28" s="9" t="s">
        <v>470</v>
      </c>
      <c r="AV28" s="9" t="s">
        <v>471</v>
      </c>
      <c r="AW28" s="9" t="s">
        <v>472</v>
      </c>
      <c r="AX28" s="9" t="s">
        <v>473</v>
      </c>
      <c r="AY28" s="9" t="s">
        <v>473</v>
      </c>
      <c r="AZ28" s="9" t="s">
        <v>474</v>
      </c>
      <c r="BA28" s="9" t="s">
        <v>475</v>
      </c>
      <c r="BB28" s="9" t="s">
        <v>476</v>
      </c>
      <c r="BC28" s="9" t="s">
        <v>477</v>
      </c>
      <c r="BD28" s="9" t="s">
        <v>478</v>
      </c>
      <c r="BE28" s="9" t="s">
        <v>478</v>
      </c>
      <c r="BF28" s="9" t="s">
        <v>479</v>
      </c>
      <c r="BG28" s="9" t="s">
        <v>480</v>
      </c>
      <c r="BH28" s="9" t="s">
        <v>480</v>
      </c>
      <c r="BI28" s="9" t="s">
        <v>480</v>
      </c>
      <c r="BJ28" s="9" t="s">
        <v>480</v>
      </c>
      <c r="BK28" s="9" t="s">
        <v>480</v>
      </c>
      <c r="BL28" s="9" t="s">
        <v>480</v>
      </c>
      <c r="BM28" s="9" t="s">
        <v>480</v>
      </c>
      <c r="BN28" s="9" t="s">
        <v>480</v>
      </c>
      <c r="BO28" s="9" t="s">
        <v>480</v>
      </c>
      <c r="BP28" s="9" t="s">
        <v>480</v>
      </c>
      <c r="BQ28" s="9" t="s">
        <v>481</v>
      </c>
      <c r="BR28" s="9" t="s">
        <v>482</v>
      </c>
      <c r="BS28" s="9" t="s">
        <v>483</v>
      </c>
      <c r="BT28" s="9" t="s">
        <v>484</v>
      </c>
      <c r="BU28" s="9" t="s">
        <v>485</v>
      </c>
      <c r="BV28" s="9" t="s">
        <v>486</v>
      </c>
      <c r="BW28" s="9" t="s">
        <v>349</v>
      </c>
      <c r="BX28" s="9" t="s">
        <v>349</v>
      </c>
      <c r="BY28" s="9" t="s">
        <v>349</v>
      </c>
      <c r="BZ28" s="9" t="s">
        <v>349</v>
      </c>
      <c r="CA28" s="9" t="s">
        <v>349</v>
      </c>
      <c r="CB28" s="9" t="s">
        <v>349</v>
      </c>
      <c r="CC28" s="9" t="s">
        <v>349</v>
      </c>
      <c r="CD28" s="9" t="s">
        <v>349</v>
      </c>
      <c r="CE28" s="9" t="s">
        <v>349</v>
      </c>
      <c r="CF28" s="9" t="s">
        <v>349</v>
      </c>
      <c r="CG28" s="9" t="s">
        <v>349</v>
      </c>
      <c r="CH28" s="9" t="s">
        <v>349</v>
      </c>
      <c r="CI28" s="9" t="s">
        <v>349</v>
      </c>
      <c r="CJ28" s="9" t="s">
        <v>349</v>
      </c>
      <c r="CK28" s="9" t="s">
        <v>349</v>
      </c>
      <c r="CL28" s="9" t="s">
        <v>349</v>
      </c>
      <c r="CM28" s="9" t="s">
        <v>349</v>
      </c>
      <c r="CN28" s="9" t="s">
        <v>349</v>
      </c>
      <c r="CO28" s="9" t="s">
        <v>349</v>
      </c>
      <c r="CP28" s="9" t="s">
        <v>349</v>
      </c>
    </row>
    <row r="29" spans="1:94" ht="15.75" customHeight="1">
      <c r="A29" s="56" t="s">
        <v>319</v>
      </c>
      <c r="B29" s="9" t="s">
        <v>349</v>
      </c>
      <c r="C29" s="9" t="s">
        <v>379</v>
      </c>
      <c r="D29" s="9" t="s">
        <v>379</v>
      </c>
      <c r="E29" s="9" t="s">
        <v>379</v>
      </c>
      <c r="F29" s="9" t="s">
        <v>379</v>
      </c>
      <c r="G29" s="9" t="s">
        <v>379</v>
      </c>
      <c r="H29" s="9" t="s">
        <v>379</v>
      </c>
      <c r="I29" s="9" t="s">
        <v>379</v>
      </c>
      <c r="J29" s="9" t="s">
        <v>379</v>
      </c>
      <c r="K29" s="9" t="s">
        <v>379</v>
      </c>
      <c r="L29" s="9" t="s">
        <v>407</v>
      </c>
      <c r="M29" s="9" t="s">
        <v>434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s">
        <v>376</v>
      </c>
      <c r="AC29" s="9" t="s">
        <v>461</v>
      </c>
      <c r="AD29" s="9" t="s">
        <v>462</v>
      </c>
      <c r="AE29" s="9" t="s">
        <v>463</v>
      </c>
      <c r="AF29" s="9" t="s">
        <v>463</v>
      </c>
      <c r="AG29" s="9" t="s">
        <v>463</v>
      </c>
      <c r="AH29" s="9" t="s">
        <v>463</v>
      </c>
      <c r="AI29" s="9" t="s">
        <v>463</v>
      </c>
      <c r="AJ29" s="9" t="s">
        <v>463</v>
      </c>
      <c r="AK29" s="9" t="s">
        <v>463</v>
      </c>
      <c r="AL29" s="9" t="s">
        <v>463</v>
      </c>
      <c r="AM29" s="9" t="s">
        <v>463</v>
      </c>
      <c r="AN29" s="9" t="s">
        <v>463</v>
      </c>
      <c r="AO29" s="9" t="s">
        <v>464</v>
      </c>
      <c r="AP29" s="9" t="s">
        <v>465</v>
      </c>
      <c r="AQ29" s="9" t="s">
        <v>466</v>
      </c>
      <c r="AR29" s="9" t="s">
        <v>467</v>
      </c>
      <c r="AS29" s="9" t="s">
        <v>468</v>
      </c>
      <c r="AT29" s="9" t="s">
        <v>469</v>
      </c>
      <c r="AU29" s="9" t="s">
        <v>470</v>
      </c>
      <c r="AV29" s="9" t="s">
        <v>471</v>
      </c>
      <c r="AW29" s="9" t="s">
        <v>472</v>
      </c>
      <c r="AX29" s="9" t="s">
        <v>473</v>
      </c>
      <c r="AY29" s="9" t="s">
        <v>473</v>
      </c>
      <c r="AZ29" s="9" t="s">
        <v>474</v>
      </c>
      <c r="BA29" s="9" t="s">
        <v>475</v>
      </c>
      <c r="BB29" s="9" t="s">
        <v>476</v>
      </c>
      <c r="BC29" s="9" t="s">
        <v>477</v>
      </c>
      <c r="BD29" s="9" t="s">
        <v>478</v>
      </c>
      <c r="BE29" s="9" t="s">
        <v>478</v>
      </c>
      <c r="BF29" s="9" t="s">
        <v>479</v>
      </c>
      <c r="BG29" s="9" t="s">
        <v>480</v>
      </c>
      <c r="BH29" s="9" t="s">
        <v>480</v>
      </c>
      <c r="BI29" s="9" t="s">
        <v>480</v>
      </c>
      <c r="BJ29" s="9" t="s">
        <v>480</v>
      </c>
      <c r="BK29" s="9" t="s">
        <v>480</v>
      </c>
      <c r="BL29" s="9" t="s">
        <v>480</v>
      </c>
      <c r="BM29" s="9" t="s">
        <v>480</v>
      </c>
      <c r="BN29" s="9" t="s">
        <v>480</v>
      </c>
      <c r="BO29" s="9" t="s">
        <v>480</v>
      </c>
      <c r="BP29" s="9" t="s">
        <v>480</v>
      </c>
      <c r="BQ29" s="9" t="s">
        <v>481</v>
      </c>
      <c r="BR29" s="9" t="s">
        <v>482</v>
      </c>
      <c r="BS29" s="9" t="s">
        <v>483</v>
      </c>
      <c r="BT29" s="9" t="s">
        <v>484</v>
      </c>
      <c r="BU29" s="9" t="s">
        <v>485</v>
      </c>
      <c r="BV29" s="9" t="s">
        <v>486</v>
      </c>
      <c r="BW29" s="9" t="s">
        <v>349</v>
      </c>
      <c r="BX29" s="9" t="s">
        <v>349</v>
      </c>
      <c r="BY29" s="9" t="s">
        <v>349</v>
      </c>
      <c r="BZ29" s="9" t="s">
        <v>349</v>
      </c>
      <c r="CA29" s="9" t="s">
        <v>349</v>
      </c>
      <c r="CB29" s="9" t="s">
        <v>349</v>
      </c>
      <c r="CC29" s="9" t="s">
        <v>349</v>
      </c>
      <c r="CD29" s="9" t="s">
        <v>349</v>
      </c>
      <c r="CE29" s="9" t="s">
        <v>349</v>
      </c>
      <c r="CF29" s="9" t="s">
        <v>349</v>
      </c>
      <c r="CG29" s="9" t="s">
        <v>349</v>
      </c>
      <c r="CH29" s="9" t="s">
        <v>349</v>
      </c>
      <c r="CI29" s="9" t="s">
        <v>349</v>
      </c>
      <c r="CJ29" s="9" t="s">
        <v>349</v>
      </c>
      <c r="CK29" s="9" t="s">
        <v>349</v>
      </c>
      <c r="CL29" s="9" t="s">
        <v>349</v>
      </c>
      <c r="CM29" s="9" t="s">
        <v>349</v>
      </c>
      <c r="CN29" s="9" t="s">
        <v>349</v>
      </c>
      <c r="CO29" s="9" t="s">
        <v>349</v>
      </c>
      <c r="CP29" s="9" t="s">
        <v>349</v>
      </c>
    </row>
    <row r="30" spans="1:94" ht="15.75" customHeight="1">
      <c r="A30" s="56" t="s">
        <v>320</v>
      </c>
      <c r="B30" s="9" t="s">
        <v>349</v>
      </c>
      <c r="C30" s="9" t="s">
        <v>379</v>
      </c>
      <c r="D30" s="9" t="s">
        <v>379</v>
      </c>
      <c r="E30" s="9" t="s">
        <v>379</v>
      </c>
      <c r="F30" s="9" t="s">
        <v>379</v>
      </c>
      <c r="G30" s="9" t="s">
        <v>379</v>
      </c>
      <c r="H30" s="9" t="s">
        <v>379</v>
      </c>
      <c r="I30" s="9" t="s">
        <v>379</v>
      </c>
      <c r="J30" s="9" t="s">
        <v>379</v>
      </c>
      <c r="K30" s="9" t="s">
        <v>379</v>
      </c>
      <c r="L30" s="9" t="s">
        <v>407</v>
      </c>
      <c r="M30" s="9" t="s">
        <v>434</v>
      </c>
      <c r="N30" s="9" t="s">
        <v>376</v>
      </c>
      <c r="O30" s="9" t="s">
        <v>376</v>
      </c>
      <c r="P30" s="9" t="s">
        <v>376</v>
      </c>
      <c r="Q30" s="9" t="s">
        <v>376</v>
      </c>
      <c r="R30" s="9" t="s">
        <v>376</v>
      </c>
      <c r="S30" s="9" t="s">
        <v>376</v>
      </c>
      <c r="T30" s="9" t="s">
        <v>376</v>
      </c>
      <c r="U30" s="9" t="s">
        <v>376</v>
      </c>
      <c r="V30" s="9" t="s">
        <v>376</v>
      </c>
      <c r="W30" s="9" t="s">
        <v>376</v>
      </c>
      <c r="X30" s="9" t="s">
        <v>376</v>
      </c>
      <c r="Y30" s="9" t="s">
        <v>376</v>
      </c>
      <c r="Z30" s="9" t="s">
        <v>376</v>
      </c>
      <c r="AA30" s="9" t="s">
        <v>376</v>
      </c>
      <c r="AB30" s="9" t="n">
        <v>0</v>
      </c>
      <c r="AC30" s="9" t="s">
        <v>461</v>
      </c>
      <c r="AD30" s="9" t="s">
        <v>462</v>
      </c>
      <c r="AE30" s="9" t="s">
        <v>463</v>
      </c>
      <c r="AF30" s="9" t="s">
        <v>463</v>
      </c>
      <c r="AG30" s="9" t="s">
        <v>463</v>
      </c>
      <c r="AH30" s="9" t="s">
        <v>463</v>
      </c>
      <c r="AI30" s="9" t="s">
        <v>463</v>
      </c>
      <c r="AJ30" s="9" t="s">
        <v>463</v>
      </c>
      <c r="AK30" s="9" t="s">
        <v>463</v>
      </c>
      <c r="AL30" s="9" t="s">
        <v>463</v>
      </c>
      <c r="AM30" s="9" t="s">
        <v>463</v>
      </c>
      <c r="AN30" s="9" t="s">
        <v>463</v>
      </c>
      <c r="AO30" s="9" t="s">
        <v>464</v>
      </c>
      <c r="AP30" s="9" t="s">
        <v>465</v>
      </c>
      <c r="AQ30" s="9" t="s">
        <v>466</v>
      </c>
      <c r="AR30" s="9" t="s">
        <v>467</v>
      </c>
      <c r="AS30" s="9" t="s">
        <v>468</v>
      </c>
      <c r="AT30" s="9" t="s">
        <v>469</v>
      </c>
      <c r="AU30" s="9" t="s">
        <v>470</v>
      </c>
      <c r="AV30" s="9" t="s">
        <v>471</v>
      </c>
      <c r="AW30" s="9" t="s">
        <v>472</v>
      </c>
      <c r="AX30" s="9" t="s">
        <v>473</v>
      </c>
      <c r="AY30" s="9" t="s">
        <v>473</v>
      </c>
      <c r="AZ30" s="9" t="s">
        <v>474</v>
      </c>
      <c r="BA30" s="9" t="s">
        <v>475</v>
      </c>
      <c r="BB30" s="9" t="s">
        <v>476</v>
      </c>
      <c r="BC30" s="9" t="s">
        <v>477</v>
      </c>
      <c r="BD30" s="9" t="s">
        <v>478</v>
      </c>
      <c r="BE30" s="9" t="s">
        <v>478</v>
      </c>
      <c r="BF30" s="9" t="s">
        <v>479</v>
      </c>
      <c r="BG30" s="9" t="s">
        <v>480</v>
      </c>
      <c r="BH30" s="9" t="s">
        <v>480</v>
      </c>
      <c r="BI30" s="9" t="s">
        <v>480</v>
      </c>
      <c r="BJ30" s="9" t="s">
        <v>480</v>
      </c>
      <c r="BK30" s="9" t="s">
        <v>480</v>
      </c>
      <c r="BL30" s="9" t="s">
        <v>480</v>
      </c>
      <c r="BM30" s="9" t="s">
        <v>480</v>
      </c>
      <c r="BN30" s="9" t="s">
        <v>480</v>
      </c>
      <c r="BO30" s="9" t="s">
        <v>480</v>
      </c>
      <c r="BP30" s="9" t="s">
        <v>480</v>
      </c>
      <c r="BQ30" s="9" t="s">
        <v>481</v>
      </c>
      <c r="BR30" s="9" t="s">
        <v>482</v>
      </c>
      <c r="BS30" s="9" t="s">
        <v>483</v>
      </c>
      <c r="BT30" s="9" t="s">
        <v>484</v>
      </c>
      <c r="BU30" s="9" t="s">
        <v>485</v>
      </c>
      <c r="BV30" s="9" t="s">
        <v>486</v>
      </c>
      <c r="BW30" s="9" t="s">
        <v>349</v>
      </c>
      <c r="BX30" s="9" t="s">
        <v>349</v>
      </c>
      <c r="BY30" s="9" t="s">
        <v>349</v>
      </c>
      <c r="BZ30" s="9" t="s">
        <v>349</v>
      </c>
      <c r="CA30" s="9" t="s">
        <v>349</v>
      </c>
      <c r="CB30" s="9" t="s">
        <v>349</v>
      </c>
      <c r="CC30" s="9" t="s">
        <v>349</v>
      </c>
      <c r="CD30" s="9" t="s">
        <v>349</v>
      </c>
      <c r="CE30" s="9" t="s">
        <v>349</v>
      </c>
      <c r="CF30" s="9" t="s">
        <v>349</v>
      </c>
      <c r="CG30" s="9" t="s">
        <v>349</v>
      </c>
      <c r="CH30" s="9" t="s">
        <v>349</v>
      </c>
      <c r="CI30" s="9" t="s">
        <v>349</v>
      </c>
      <c r="CJ30" s="9" t="s">
        <v>349</v>
      </c>
      <c r="CK30" s="9" t="s">
        <v>349</v>
      </c>
      <c r="CL30" s="9" t="s">
        <v>349</v>
      </c>
      <c r="CM30" s="9" t="s">
        <v>349</v>
      </c>
      <c r="CN30" s="9" t="s">
        <v>349</v>
      </c>
      <c r="CO30" s="9" t="s">
        <v>349</v>
      </c>
      <c r="CP30" s="9" t="s">
        <v>349</v>
      </c>
    </row>
    <row r="31" spans="1:94" ht="15.75" customHeight="1">
      <c r="A31" s="56" t="s">
        <v>321</v>
      </c>
      <c r="B31" s="9" t="s">
        <v>350</v>
      </c>
      <c r="C31" s="9" t="s">
        <v>380</v>
      </c>
      <c r="D31" s="9" t="s">
        <v>380</v>
      </c>
      <c r="E31" s="9" t="s">
        <v>380</v>
      </c>
      <c r="F31" s="9" t="s">
        <v>380</v>
      </c>
      <c r="G31" s="9" t="s">
        <v>380</v>
      </c>
      <c r="H31" s="9" t="s">
        <v>380</v>
      </c>
      <c r="I31" s="9" t="s">
        <v>380</v>
      </c>
      <c r="J31" s="9" t="s">
        <v>380</v>
      </c>
      <c r="K31" s="9" t="s">
        <v>380</v>
      </c>
      <c r="L31" s="9" t="s">
        <v>408</v>
      </c>
      <c r="M31" s="9" t="s">
        <v>435</v>
      </c>
      <c r="N31" s="9" t="s">
        <v>461</v>
      </c>
      <c r="O31" s="9" t="s">
        <v>461</v>
      </c>
      <c r="P31" s="9" t="s">
        <v>461</v>
      </c>
      <c r="Q31" s="9" t="s">
        <v>461</v>
      </c>
      <c r="R31" s="9" t="s">
        <v>461</v>
      </c>
      <c r="S31" s="9" t="s">
        <v>461</v>
      </c>
      <c r="T31" s="9" t="s">
        <v>461</v>
      </c>
      <c r="U31" s="9" t="s">
        <v>461</v>
      </c>
      <c r="V31" s="9" t="s">
        <v>461</v>
      </c>
      <c r="W31" s="9" t="s">
        <v>461</v>
      </c>
      <c r="X31" s="9" t="s">
        <v>461</v>
      </c>
      <c r="Y31" s="9" t="s">
        <v>461</v>
      </c>
      <c r="Z31" s="9" t="s">
        <v>461</v>
      </c>
      <c r="AA31" s="9" t="s">
        <v>461</v>
      </c>
      <c r="AB31" s="9" t="s">
        <v>461</v>
      </c>
      <c r="AC31" s="9" t="n">
        <v>0</v>
      </c>
      <c r="AD31" s="9" t="s">
        <v>487</v>
      </c>
      <c r="AE31" s="9" t="s">
        <v>488</v>
      </c>
      <c r="AF31" s="9" t="s">
        <v>488</v>
      </c>
      <c r="AG31" s="9" t="s">
        <v>488</v>
      </c>
      <c r="AH31" s="9" t="s">
        <v>488</v>
      </c>
      <c r="AI31" s="9" t="s">
        <v>488</v>
      </c>
      <c r="AJ31" s="9" t="s">
        <v>488</v>
      </c>
      <c r="AK31" s="9" t="s">
        <v>488</v>
      </c>
      <c r="AL31" s="9" t="s">
        <v>488</v>
      </c>
      <c r="AM31" s="9" t="s">
        <v>488</v>
      </c>
      <c r="AN31" s="9" t="s">
        <v>488</v>
      </c>
      <c r="AO31" s="9" t="s">
        <v>489</v>
      </c>
      <c r="AP31" s="9" t="s">
        <v>490</v>
      </c>
      <c r="AQ31" s="9" t="s">
        <v>491</v>
      </c>
      <c r="AR31" s="9" t="s">
        <v>492</v>
      </c>
      <c r="AS31" s="9" t="s">
        <v>493</v>
      </c>
      <c r="AT31" s="9" t="s">
        <v>494</v>
      </c>
      <c r="AU31" s="9" t="s">
        <v>495</v>
      </c>
      <c r="AV31" s="9" t="s">
        <v>496</v>
      </c>
      <c r="AW31" s="9" t="s">
        <v>497</v>
      </c>
      <c r="AX31" s="9" t="s">
        <v>498</v>
      </c>
      <c r="AY31" s="9" t="s">
        <v>498</v>
      </c>
      <c r="AZ31" s="9" t="s">
        <v>499</v>
      </c>
      <c r="BA31" s="9" t="s">
        <v>500</v>
      </c>
      <c r="BB31" s="9" t="s">
        <v>501</v>
      </c>
      <c r="BC31" s="9" t="s">
        <v>502</v>
      </c>
      <c r="BD31" s="9" t="s">
        <v>503</v>
      </c>
      <c r="BE31" s="9" t="s">
        <v>503</v>
      </c>
      <c r="BF31" s="9" t="s">
        <v>504</v>
      </c>
      <c r="BG31" s="9" t="s">
        <v>505</v>
      </c>
      <c r="BH31" s="9" t="s">
        <v>505</v>
      </c>
      <c r="BI31" s="9" t="s">
        <v>505</v>
      </c>
      <c r="BJ31" s="9" t="s">
        <v>505</v>
      </c>
      <c r="BK31" s="9" t="s">
        <v>505</v>
      </c>
      <c r="BL31" s="9" t="s">
        <v>505</v>
      </c>
      <c r="BM31" s="9" t="s">
        <v>505</v>
      </c>
      <c r="BN31" s="9" t="s">
        <v>505</v>
      </c>
      <c r="BO31" s="9" t="s">
        <v>505</v>
      </c>
      <c r="BP31" s="9" t="s">
        <v>505</v>
      </c>
      <c r="BQ31" s="9" t="s">
        <v>506</v>
      </c>
      <c r="BR31" s="9" t="s">
        <v>507</v>
      </c>
      <c r="BS31" s="9" t="s">
        <v>508</v>
      </c>
      <c r="BT31" s="9" t="s">
        <v>509</v>
      </c>
      <c r="BU31" s="9" t="s">
        <v>510</v>
      </c>
      <c r="BV31" s="9" t="s">
        <v>511</v>
      </c>
      <c r="BW31" s="9" t="s">
        <v>350</v>
      </c>
      <c r="BX31" s="9" t="s">
        <v>350</v>
      </c>
      <c r="BY31" s="9" t="s">
        <v>350</v>
      </c>
      <c r="BZ31" s="9" t="s">
        <v>350</v>
      </c>
      <c r="CA31" s="9" t="s">
        <v>350</v>
      </c>
      <c r="CB31" s="9" t="s">
        <v>350</v>
      </c>
      <c r="CC31" s="9" t="s">
        <v>350</v>
      </c>
      <c r="CD31" s="9" t="s">
        <v>350</v>
      </c>
      <c r="CE31" s="9" t="s">
        <v>350</v>
      </c>
      <c r="CF31" s="9" t="s">
        <v>350</v>
      </c>
      <c r="CG31" s="9" t="s">
        <v>350</v>
      </c>
      <c r="CH31" s="9" t="s">
        <v>350</v>
      </c>
      <c r="CI31" s="9" t="s">
        <v>350</v>
      </c>
      <c r="CJ31" s="9" t="s">
        <v>350</v>
      </c>
      <c r="CK31" s="9" t="s">
        <v>350</v>
      </c>
      <c r="CL31" s="9" t="s">
        <v>350</v>
      </c>
      <c r="CM31" s="9" t="s">
        <v>350</v>
      </c>
      <c r="CN31" s="9" t="s">
        <v>350</v>
      </c>
      <c r="CO31" s="9" t="s">
        <v>350</v>
      </c>
      <c r="CP31" s="9" t="s">
        <v>350</v>
      </c>
    </row>
    <row r="32" spans="1:94" ht="15.75" customHeight="1">
      <c r="A32" s="56" t="s">
        <v>322</v>
      </c>
      <c r="B32" s="9" t="s">
        <v>351</v>
      </c>
      <c r="C32" s="9" t="s">
        <v>381</v>
      </c>
      <c r="D32" s="9" t="s">
        <v>381</v>
      </c>
      <c r="E32" s="9" t="s">
        <v>381</v>
      </c>
      <c r="F32" s="9" t="s">
        <v>381</v>
      </c>
      <c r="G32" s="9" t="s">
        <v>381</v>
      </c>
      <c r="H32" s="9" t="s">
        <v>381</v>
      </c>
      <c r="I32" s="9" t="s">
        <v>381</v>
      </c>
      <c r="J32" s="9" t="s">
        <v>381</v>
      </c>
      <c r="K32" s="9" t="s">
        <v>381</v>
      </c>
      <c r="L32" s="9" t="s">
        <v>409</v>
      </c>
      <c r="M32" s="9" t="s">
        <v>436</v>
      </c>
      <c r="N32" s="9" t="s">
        <v>462</v>
      </c>
      <c r="O32" s="9" t="s">
        <v>462</v>
      </c>
      <c r="P32" s="9" t="s">
        <v>462</v>
      </c>
      <c r="Q32" s="9" t="s">
        <v>462</v>
      </c>
      <c r="R32" s="9" t="s">
        <v>462</v>
      </c>
      <c r="S32" s="9" t="s">
        <v>462</v>
      </c>
      <c r="T32" s="9" t="s">
        <v>462</v>
      </c>
      <c r="U32" s="9" t="s">
        <v>462</v>
      </c>
      <c r="V32" s="9" t="s">
        <v>462</v>
      </c>
      <c r="W32" s="9" t="s">
        <v>462</v>
      </c>
      <c r="X32" s="9" t="s">
        <v>462</v>
      </c>
      <c r="Y32" s="9" t="s">
        <v>462</v>
      </c>
      <c r="Z32" s="9" t="s">
        <v>462</v>
      </c>
      <c r="AA32" s="9" t="s">
        <v>462</v>
      </c>
      <c r="AB32" s="9" t="s">
        <v>462</v>
      </c>
      <c r="AC32" s="9" t="s">
        <v>487</v>
      </c>
      <c r="AD32" s="9" t="n">
        <v>0</v>
      </c>
      <c r="AE32" s="9" t="s">
        <v>512</v>
      </c>
      <c r="AF32" s="9" t="s">
        <v>512</v>
      </c>
      <c r="AG32" s="9" t="s">
        <v>512</v>
      </c>
      <c r="AH32" s="9" t="s">
        <v>512</v>
      </c>
      <c r="AI32" s="9" t="s">
        <v>512</v>
      </c>
      <c r="AJ32" s="9" t="s">
        <v>512</v>
      </c>
      <c r="AK32" s="9" t="s">
        <v>512</v>
      </c>
      <c r="AL32" s="9" t="s">
        <v>512</v>
      </c>
      <c r="AM32" s="9" t="s">
        <v>512</v>
      </c>
      <c r="AN32" s="9" t="s">
        <v>512</v>
      </c>
      <c r="AO32" s="9" t="s">
        <v>513</v>
      </c>
      <c r="AP32" s="9" t="s">
        <v>514</v>
      </c>
      <c r="AQ32" s="9" t="s">
        <v>515</v>
      </c>
      <c r="AR32" s="9" t="s">
        <v>516</v>
      </c>
      <c r="AS32" s="9" t="s">
        <v>517</v>
      </c>
      <c r="AT32" s="9" t="s">
        <v>518</v>
      </c>
      <c r="AU32" s="9" t="s">
        <v>519</v>
      </c>
      <c r="AV32" s="9" t="s">
        <v>520</v>
      </c>
      <c r="AW32" s="9" t="s">
        <v>521</v>
      </c>
      <c r="AX32" s="9" t="s">
        <v>522</v>
      </c>
      <c r="AY32" s="9" t="s">
        <v>522</v>
      </c>
      <c r="AZ32" s="9" t="s">
        <v>523</v>
      </c>
      <c r="BA32" s="9" t="s">
        <v>524</v>
      </c>
      <c r="BB32" s="9" t="s">
        <v>525</v>
      </c>
      <c r="BC32" s="9" t="s">
        <v>526</v>
      </c>
      <c r="BD32" s="9" t="s">
        <v>527</v>
      </c>
      <c r="BE32" s="9" t="s">
        <v>527</v>
      </c>
      <c r="BF32" s="9" t="s">
        <v>528</v>
      </c>
      <c r="BG32" s="9" t="s">
        <v>529</v>
      </c>
      <c r="BH32" s="9" t="s">
        <v>529</v>
      </c>
      <c r="BI32" s="9" t="s">
        <v>529</v>
      </c>
      <c r="BJ32" s="9" t="s">
        <v>529</v>
      </c>
      <c r="BK32" s="9" t="s">
        <v>529</v>
      </c>
      <c r="BL32" s="9" t="s">
        <v>529</v>
      </c>
      <c r="BM32" s="9" t="s">
        <v>529</v>
      </c>
      <c r="BN32" s="9" t="s">
        <v>529</v>
      </c>
      <c r="BO32" s="9" t="s">
        <v>529</v>
      </c>
      <c r="BP32" s="9" t="s">
        <v>529</v>
      </c>
      <c r="BQ32" s="9" t="s">
        <v>530</v>
      </c>
      <c r="BR32" s="9" t="s">
        <v>531</v>
      </c>
      <c r="BS32" s="9" t="s">
        <v>532</v>
      </c>
      <c r="BT32" s="9" t="s">
        <v>533</v>
      </c>
      <c r="BU32" s="9" t="s">
        <v>534</v>
      </c>
      <c r="BV32" s="9" t="s">
        <v>535</v>
      </c>
      <c r="BW32" s="9" t="s">
        <v>351</v>
      </c>
      <c r="BX32" s="9" t="s">
        <v>351</v>
      </c>
      <c r="BY32" s="9" t="s">
        <v>351</v>
      </c>
      <c r="BZ32" s="9" t="s">
        <v>351</v>
      </c>
      <c r="CA32" s="9" t="s">
        <v>351</v>
      </c>
      <c r="CB32" s="9" t="s">
        <v>351</v>
      </c>
      <c r="CC32" s="9" t="s">
        <v>351</v>
      </c>
      <c r="CD32" s="9" t="s">
        <v>351</v>
      </c>
      <c r="CE32" s="9" t="s">
        <v>351</v>
      </c>
      <c r="CF32" s="9" t="s">
        <v>351</v>
      </c>
      <c r="CG32" s="9" t="s">
        <v>351</v>
      </c>
      <c r="CH32" s="9" t="s">
        <v>351</v>
      </c>
      <c r="CI32" s="9" t="s">
        <v>351</v>
      </c>
      <c r="CJ32" s="9" t="s">
        <v>351</v>
      </c>
      <c r="CK32" s="9" t="s">
        <v>351</v>
      </c>
      <c r="CL32" s="9" t="s">
        <v>351</v>
      </c>
      <c r="CM32" s="9" t="s">
        <v>351</v>
      </c>
      <c r="CN32" s="9" t="s">
        <v>351</v>
      </c>
      <c r="CO32" s="9" t="s">
        <v>351</v>
      </c>
      <c r="CP32" s="9" t="s">
        <v>351</v>
      </c>
    </row>
    <row r="33" spans="1:94" ht="15.75" customHeight="1">
      <c r="A33" s="56" t="s">
        <v>323</v>
      </c>
      <c r="B33" s="9" t="s">
        <v>352</v>
      </c>
      <c r="C33" s="9" t="s">
        <v>382</v>
      </c>
      <c r="D33" s="9" t="s">
        <v>382</v>
      </c>
      <c r="E33" s="9" t="s">
        <v>382</v>
      </c>
      <c r="F33" s="9" t="s">
        <v>382</v>
      </c>
      <c r="G33" s="9" t="s">
        <v>382</v>
      </c>
      <c r="H33" s="9" t="s">
        <v>382</v>
      </c>
      <c r="I33" s="9" t="s">
        <v>382</v>
      </c>
      <c r="J33" s="9" t="s">
        <v>382</v>
      </c>
      <c r="K33" s="9" t="s">
        <v>382</v>
      </c>
      <c r="L33" s="9" t="s">
        <v>410</v>
      </c>
      <c r="M33" s="9" t="s">
        <v>437</v>
      </c>
      <c r="N33" s="9" t="s">
        <v>463</v>
      </c>
      <c r="O33" s="9" t="s">
        <v>463</v>
      </c>
      <c r="P33" s="9" t="s">
        <v>463</v>
      </c>
      <c r="Q33" s="9" t="s">
        <v>463</v>
      </c>
      <c r="R33" s="9" t="s">
        <v>463</v>
      </c>
      <c r="S33" s="9" t="s">
        <v>463</v>
      </c>
      <c r="T33" s="9" t="s">
        <v>463</v>
      </c>
      <c r="U33" s="9" t="s">
        <v>463</v>
      </c>
      <c r="V33" s="9" t="s">
        <v>463</v>
      </c>
      <c r="W33" s="9" t="s">
        <v>463</v>
      </c>
      <c r="X33" s="9" t="s">
        <v>463</v>
      </c>
      <c r="Y33" s="9" t="s">
        <v>463</v>
      </c>
      <c r="Z33" s="9" t="s">
        <v>463</v>
      </c>
      <c r="AA33" s="9" t="s">
        <v>463</v>
      </c>
      <c r="AB33" s="9" t="s">
        <v>463</v>
      </c>
      <c r="AC33" s="9" t="s">
        <v>488</v>
      </c>
      <c r="AD33" s="9" t="s">
        <v>512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s">
        <v>376</v>
      </c>
      <c r="AO33" s="9" t="s">
        <v>536</v>
      </c>
      <c r="AP33" s="9" t="s">
        <v>537</v>
      </c>
      <c r="AQ33" s="9" t="s">
        <v>538</v>
      </c>
      <c r="AR33" s="9" t="s">
        <v>539</v>
      </c>
      <c r="AS33" s="9" t="s">
        <v>540</v>
      </c>
      <c r="AT33" s="9" t="s">
        <v>541</v>
      </c>
      <c r="AU33" s="9" t="s">
        <v>542</v>
      </c>
      <c r="AV33" s="9" t="s">
        <v>543</v>
      </c>
      <c r="AW33" s="9" t="s">
        <v>544</v>
      </c>
      <c r="AX33" s="9" t="s">
        <v>545</v>
      </c>
      <c r="AY33" s="9" t="s">
        <v>545</v>
      </c>
      <c r="AZ33" s="9" t="s">
        <v>546</v>
      </c>
      <c r="BA33" s="9" t="s">
        <v>547</v>
      </c>
      <c r="BB33" s="9" t="s">
        <v>548</v>
      </c>
      <c r="BC33" s="9" t="s">
        <v>549</v>
      </c>
      <c r="BD33" s="9" t="s">
        <v>550</v>
      </c>
      <c r="BE33" s="9" t="s">
        <v>550</v>
      </c>
      <c r="BF33" s="9" t="s">
        <v>551</v>
      </c>
      <c r="BG33" s="9" t="s">
        <v>552</v>
      </c>
      <c r="BH33" s="9" t="s">
        <v>552</v>
      </c>
      <c r="BI33" s="9" t="s">
        <v>552</v>
      </c>
      <c r="BJ33" s="9" t="s">
        <v>552</v>
      </c>
      <c r="BK33" s="9" t="s">
        <v>552</v>
      </c>
      <c r="BL33" s="9" t="s">
        <v>552</v>
      </c>
      <c r="BM33" s="9" t="s">
        <v>552</v>
      </c>
      <c r="BN33" s="9" t="s">
        <v>552</v>
      </c>
      <c r="BO33" s="9" t="s">
        <v>552</v>
      </c>
      <c r="BP33" s="9" t="s">
        <v>552</v>
      </c>
      <c r="BQ33" s="9" t="s">
        <v>553</v>
      </c>
      <c r="BR33" s="9" t="s">
        <v>554</v>
      </c>
      <c r="BS33" s="9" t="s">
        <v>555</v>
      </c>
      <c r="BT33" s="9" t="s">
        <v>556</v>
      </c>
      <c r="BU33" s="9" t="s">
        <v>557</v>
      </c>
      <c r="BV33" s="9" t="s">
        <v>558</v>
      </c>
      <c r="BW33" s="9" t="s">
        <v>352</v>
      </c>
      <c r="BX33" s="9" t="s">
        <v>352</v>
      </c>
      <c r="BY33" s="9" t="s">
        <v>352</v>
      </c>
      <c r="BZ33" s="9" t="s">
        <v>352</v>
      </c>
      <c r="CA33" s="9" t="s">
        <v>352</v>
      </c>
      <c r="CB33" s="9" t="s">
        <v>352</v>
      </c>
      <c r="CC33" s="9" t="s">
        <v>352</v>
      </c>
      <c r="CD33" s="9" t="s">
        <v>352</v>
      </c>
      <c r="CE33" s="9" t="s">
        <v>352</v>
      </c>
      <c r="CF33" s="9" t="s">
        <v>352</v>
      </c>
      <c r="CG33" s="9" t="s">
        <v>352</v>
      </c>
      <c r="CH33" s="9" t="s">
        <v>352</v>
      </c>
      <c r="CI33" s="9" t="s">
        <v>352</v>
      </c>
      <c r="CJ33" s="9" t="s">
        <v>352</v>
      </c>
      <c r="CK33" s="9" t="s">
        <v>352</v>
      </c>
      <c r="CL33" s="9" t="s">
        <v>352</v>
      </c>
      <c r="CM33" s="9" t="s">
        <v>352</v>
      </c>
      <c r="CN33" s="9" t="s">
        <v>352</v>
      </c>
      <c r="CO33" s="9" t="s">
        <v>352</v>
      </c>
      <c r="CP33" s="9" t="s">
        <v>352</v>
      </c>
    </row>
    <row r="34" spans="1:94" ht="15.75" customHeight="1">
      <c r="A34" s="56" t="s">
        <v>143</v>
      </c>
      <c r="B34" s="9" t="s">
        <v>352</v>
      </c>
      <c r="C34" s="9" t="s">
        <v>382</v>
      </c>
      <c r="D34" s="9" t="s">
        <v>382</v>
      </c>
      <c r="E34" s="9" t="s">
        <v>382</v>
      </c>
      <c r="F34" s="9" t="s">
        <v>382</v>
      </c>
      <c r="G34" s="9" t="s">
        <v>382</v>
      </c>
      <c r="H34" s="9" t="s">
        <v>382</v>
      </c>
      <c r="I34" s="9" t="s">
        <v>382</v>
      </c>
      <c r="J34" s="9" t="s">
        <v>382</v>
      </c>
      <c r="K34" s="9" t="s">
        <v>382</v>
      </c>
      <c r="L34" s="9" t="s">
        <v>410</v>
      </c>
      <c r="M34" s="9" t="s">
        <v>437</v>
      </c>
      <c r="N34" s="9" t="s">
        <v>463</v>
      </c>
      <c r="O34" s="9" t="s">
        <v>463</v>
      </c>
      <c r="P34" s="9" t="s">
        <v>463</v>
      </c>
      <c r="Q34" s="9" t="s">
        <v>463</v>
      </c>
      <c r="R34" s="9" t="s">
        <v>463</v>
      </c>
      <c r="S34" s="9" t="s">
        <v>463</v>
      </c>
      <c r="T34" s="9" t="s">
        <v>463</v>
      </c>
      <c r="U34" s="9" t="s">
        <v>463</v>
      </c>
      <c r="V34" s="9" t="s">
        <v>463</v>
      </c>
      <c r="W34" s="9" t="s">
        <v>463</v>
      </c>
      <c r="X34" s="9" t="s">
        <v>463</v>
      </c>
      <c r="Y34" s="9" t="s">
        <v>463</v>
      </c>
      <c r="Z34" s="9" t="s">
        <v>463</v>
      </c>
      <c r="AA34" s="9" t="s">
        <v>463</v>
      </c>
      <c r="AB34" s="9" t="s">
        <v>463</v>
      </c>
      <c r="AC34" s="9" t="s">
        <v>488</v>
      </c>
      <c r="AD34" s="9" t="s">
        <v>512</v>
      </c>
      <c r="AE34" s="9" t="n">
        <v>0</v>
      </c>
      <c r="AF34" s="9" t="n">
        <v>0</v>
      </c>
      <c r="AG34" s="9" t="n">
        <v>0</v>
      </c>
      <c r="AH34" s="9" t="n">
        <v>0</v>
      </c>
      <c r="AI34" s="9" t="n">
        <v>0</v>
      </c>
      <c r="AJ34" s="9" t="n">
        <v>0</v>
      </c>
      <c r="AK34" s="9" t="n">
        <v>0</v>
      </c>
      <c r="AL34" s="9" t="n">
        <v>0</v>
      </c>
      <c r="AM34" s="9" t="n">
        <v>0</v>
      </c>
      <c r="AN34" s="9" t="s">
        <v>376</v>
      </c>
      <c r="AO34" s="9" t="s">
        <v>536</v>
      </c>
      <c r="AP34" s="9" t="s">
        <v>537</v>
      </c>
      <c r="AQ34" s="9" t="s">
        <v>538</v>
      </c>
      <c r="AR34" s="9" t="s">
        <v>539</v>
      </c>
      <c r="AS34" s="9" t="s">
        <v>540</v>
      </c>
      <c r="AT34" s="9" t="s">
        <v>541</v>
      </c>
      <c r="AU34" s="9" t="s">
        <v>542</v>
      </c>
      <c r="AV34" s="9" t="s">
        <v>543</v>
      </c>
      <c r="AW34" s="9" t="s">
        <v>544</v>
      </c>
      <c r="AX34" s="9" t="s">
        <v>545</v>
      </c>
      <c r="AY34" s="9" t="s">
        <v>545</v>
      </c>
      <c r="AZ34" s="9" t="s">
        <v>546</v>
      </c>
      <c r="BA34" s="9" t="s">
        <v>547</v>
      </c>
      <c r="BB34" s="9" t="s">
        <v>548</v>
      </c>
      <c r="BC34" s="9" t="s">
        <v>549</v>
      </c>
      <c r="BD34" s="9" t="s">
        <v>550</v>
      </c>
      <c r="BE34" s="9" t="s">
        <v>550</v>
      </c>
      <c r="BF34" s="9" t="s">
        <v>551</v>
      </c>
      <c r="BG34" s="9" t="s">
        <v>552</v>
      </c>
      <c r="BH34" s="9" t="s">
        <v>552</v>
      </c>
      <c r="BI34" s="9" t="s">
        <v>552</v>
      </c>
      <c r="BJ34" s="9" t="s">
        <v>552</v>
      </c>
      <c r="BK34" s="9" t="s">
        <v>552</v>
      </c>
      <c r="BL34" s="9" t="s">
        <v>552</v>
      </c>
      <c r="BM34" s="9" t="s">
        <v>552</v>
      </c>
      <c r="BN34" s="9" t="s">
        <v>552</v>
      </c>
      <c r="BO34" s="9" t="s">
        <v>552</v>
      </c>
      <c r="BP34" s="9" t="s">
        <v>552</v>
      </c>
      <c r="BQ34" s="9" t="s">
        <v>553</v>
      </c>
      <c r="BR34" s="9" t="s">
        <v>554</v>
      </c>
      <c r="BS34" s="9" t="s">
        <v>555</v>
      </c>
      <c r="BT34" s="9" t="s">
        <v>556</v>
      </c>
      <c r="BU34" s="9" t="s">
        <v>557</v>
      </c>
      <c r="BV34" s="9" t="s">
        <v>558</v>
      </c>
      <c r="BW34" s="9" t="s">
        <v>352</v>
      </c>
      <c r="BX34" s="9" t="s">
        <v>352</v>
      </c>
      <c r="BY34" s="9" t="s">
        <v>352</v>
      </c>
      <c r="BZ34" s="9" t="s">
        <v>352</v>
      </c>
      <c r="CA34" s="9" t="s">
        <v>352</v>
      </c>
      <c r="CB34" s="9" t="s">
        <v>352</v>
      </c>
      <c r="CC34" s="9" t="s">
        <v>352</v>
      </c>
      <c r="CD34" s="9" t="s">
        <v>352</v>
      </c>
      <c r="CE34" s="9" t="s">
        <v>352</v>
      </c>
      <c r="CF34" s="9" t="s">
        <v>352</v>
      </c>
      <c r="CG34" s="9" t="s">
        <v>352</v>
      </c>
      <c r="CH34" s="9" t="s">
        <v>352</v>
      </c>
      <c r="CI34" s="9" t="s">
        <v>352</v>
      </c>
      <c r="CJ34" s="9" t="s">
        <v>352</v>
      </c>
      <c r="CK34" s="9" t="s">
        <v>352</v>
      </c>
      <c r="CL34" s="9" t="s">
        <v>352</v>
      </c>
      <c r="CM34" s="9" t="s">
        <v>352</v>
      </c>
      <c r="CN34" s="9" t="s">
        <v>352</v>
      </c>
      <c r="CO34" s="9" t="s">
        <v>352</v>
      </c>
      <c r="CP34" s="9" t="s">
        <v>352</v>
      </c>
    </row>
    <row r="35" spans="1:94" ht="15.75" customHeight="1">
      <c r="A35" s="56" t="s">
        <v>113</v>
      </c>
      <c r="B35" s="9" t="s">
        <v>352</v>
      </c>
      <c r="C35" s="9" t="s">
        <v>382</v>
      </c>
      <c r="D35" s="9" t="s">
        <v>382</v>
      </c>
      <c r="E35" s="9" t="s">
        <v>382</v>
      </c>
      <c r="F35" s="9" t="s">
        <v>382</v>
      </c>
      <c r="G35" s="9" t="s">
        <v>382</v>
      </c>
      <c r="H35" s="9" t="s">
        <v>382</v>
      </c>
      <c r="I35" s="9" t="s">
        <v>382</v>
      </c>
      <c r="J35" s="9" t="s">
        <v>382</v>
      </c>
      <c r="K35" s="9" t="s">
        <v>382</v>
      </c>
      <c r="L35" s="9" t="s">
        <v>410</v>
      </c>
      <c r="M35" s="9" t="s">
        <v>437</v>
      </c>
      <c r="N35" s="9" t="s">
        <v>463</v>
      </c>
      <c r="O35" s="9" t="s">
        <v>463</v>
      </c>
      <c r="P35" s="9" t="s">
        <v>463</v>
      </c>
      <c r="Q35" s="9" t="s">
        <v>463</v>
      </c>
      <c r="R35" s="9" t="s">
        <v>463</v>
      </c>
      <c r="S35" s="9" t="s">
        <v>463</v>
      </c>
      <c r="T35" s="9" t="s">
        <v>463</v>
      </c>
      <c r="U35" s="9" t="s">
        <v>463</v>
      </c>
      <c r="V35" s="9" t="s">
        <v>463</v>
      </c>
      <c r="W35" s="9" t="s">
        <v>463</v>
      </c>
      <c r="X35" s="9" t="s">
        <v>463</v>
      </c>
      <c r="Y35" s="9" t="s">
        <v>463</v>
      </c>
      <c r="Z35" s="9" t="s">
        <v>463</v>
      </c>
      <c r="AA35" s="9" t="s">
        <v>463</v>
      </c>
      <c r="AB35" s="9" t="s">
        <v>463</v>
      </c>
      <c r="AC35" s="9" t="s">
        <v>488</v>
      </c>
      <c r="AD35" s="9" t="s">
        <v>512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s">
        <v>376</v>
      </c>
      <c r="AO35" s="9" t="s">
        <v>536</v>
      </c>
      <c r="AP35" s="9" t="s">
        <v>537</v>
      </c>
      <c r="AQ35" s="9" t="s">
        <v>538</v>
      </c>
      <c r="AR35" s="9" t="s">
        <v>539</v>
      </c>
      <c r="AS35" s="9" t="s">
        <v>540</v>
      </c>
      <c r="AT35" s="9" t="s">
        <v>541</v>
      </c>
      <c r="AU35" s="9" t="s">
        <v>542</v>
      </c>
      <c r="AV35" s="9" t="s">
        <v>543</v>
      </c>
      <c r="AW35" s="9" t="s">
        <v>544</v>
      </c>
      <c r="AX35" s="9" t="s">
        <v>545</v>
      </c>
      <c r="AY35" s="9" t="s">
        <v>545</v>
      </c>
      <c r="AZ35" s="9" t="s">
        <v>546</v>
      </c>
      <c r="BA35" s="9" t="s">
        <v>547</v>
      </c>
      <c r="BB35" s="9" t="s">
        <v>548</v>
      </c>
      <c r="BC35" s="9" t="s">
        <v>549</v>
      </c>
      <c r="BD35" s="9" t="s">
        <v>550</v>
      </c>
      <c r="BE35" s="9" t="s">
        <v>550</v>
      </c>
      <c r="BF35" s="9" t="s">
        <v>551</v>
      </c>
      <c r="BG35" s="9" t="s">
        <v>552</v>
      </c>
      <c r="BH35" s="9" t="s">
        <v>552</v>
      </c>
      <c r="BI35" s="9" t="s">
        <v>552</v>
      </c>
      <c r="BJ35" s="9" t="s">
        <v>552</v>
      </c>
      <c r="BK35" s="9" t="s">
        <v>552</v>
      </c>
      <c r="BL35" s="9" t="s">
        <v>552</v>
      </c>
      <c r="BM35" s="9" t="s">
        <v>552</v>
      </c>
      <c r="BN35" s="9" t="s">
        <v>552</v>
      </c>
      <c r="BO35" s="9" t="s">
        <v>552</v>
      </c>
      <c r="BP35" s="9" t="s">
        <v>552</v>
      </c>
      <c r="BQ35" s="9" t="s">
        <v>553</v>
      </c>
      <c r="BR35" s="9" t="s">
        <v>554</v>
      </c>
      <c r="BS35" s="9" t="s">
        <v>555</v>
      </c>
      <c r="BT35" s="9" t="s">
        <v>556</v>
      </c>
      <c r="BU35" s="9" t="s">
        <v>557</v>
      </c>
      <c r="BV35" s="9" t="s">
        <v>558</v>
      </c>
      <c r="BW35" s="9" t="s">
        <v>352</v>
      </c>
      <c r="BX35" s="9" t="s">
        <v>352</v>
      </c>
      <c r="BY35" s="9" t="s">
        <v>352</v>
      </c>
      <c r="BZ35" s="9" t="s">
        <v>352</v>
      </c>
      <c r="CA35" s="9" t="s">
        <v>352</v>
      </c>
      <c r="CB35" s="9" t="s">
        <v>352</v>
      </c>
      <c r="CC35" s="9" t="s">
        <v>352</v>
      </c>
      <c r="CD35" s="9" t="s">
        <v>352</v>
      </c>
      <c r="CE35" s="9" t="s">
        <v>352</v>
      </c>
      <c r="CF35" s="9" t="s">
        <v>352</v>
      </c>
      <c r="CG35" s="9" t="s">
        <v>352</v>
      </c>
      <c r="CH35" s="9" t="s">
        <v>352</v>
      </c>
      <c r="CI35" s="9" t="s">
        <v>352</v>
      </c>
      <c r="CJ35" s="9" t="s">
        <v>352</v>
      </c>
      <c r="CK35" s="9" t="s">
        <v>352</v>
      </c>
      <c r="CL35" s="9" t="s">
        <v>352</v>
      </c>
      <c r="CM35" s="9" t="s">
        <v>352</v>
      </c>
      <c r="CN35" s="9" t="s">
        <v>352</v>
      </c>
      <c r="CO35" s="9" t="s">
        <v>352</v>
      </c>
      <c r="CP35" s="9" t="s">
        <v>352</v>
      </c>
    </row>
    <row r="36" spans="1:94" ht="15.75" customHeight="1">
      <c r="A36" s="56" t="s">
        <v>149</v>
      </c>
      <c r="B36" s="9" t="s">
        <v>352</v>
      </c>
      <c r="C36" s="9" t="s">
        <v>382</v>
      </c>
      <c r="D36" s="9" t="s">
        <v>382</v>
      </c>
      <c r="E36" s="9" t="s">
        <v>382</v>
      </c>
      <c r="F36" s="9" t="s">
        <v>382</v>
      </c>
      <c r="G36" s="9" t="s">
        <v>382</v>
      </c>
      <c r="H36" s="9" t="s">
        <v>382</v>
      </c>
      <c r="I36" s="9" t="s">
        <v>382</v>
      </c>
      <c r="J36" s="9" t="s">
        <v>382</v>
      </c>
      <c r="K36" s="9" t="s">
        <v>382</v>
      </c>
      <c r="L36" s="9" t="s">
        <v>410</v>
      </c>
      <c r="M36" s="9" t="s">
        <v>437</v>
      </c>
      <c r="N36" s="9" t="s">
        <v>463</v>
      </c>
      <c r="O36" s="9" t="s">
        <v>463</v>
      </c>
      <c r="P36" s="9" t="s">
        <v>463</v>
      </c>
      <c r="Q36" s="9" t="s">
        <v>463</v>
      </c>
      <c r="R36" s="9" t="s">
        <v>463</v>
      </c>
      <c r="S36" s="9" t="s">
        <v>463</v>
      </c>
      <c r="T36" s="9" t="s">
        <v>463</v>
      </c>
      <c r="U36" s="9" t="s">
        <v>463</v>
      </c>
      <c r="V36" s="9" t="s">
        <v>463</v>
      </c>
      <c r="W36" s="9" t="s">
        <v>463</v>
      </c>
      <c r="X36" s="9" t="s">
        <v>463</v>
      </c>
      <c r="Y36" s="9" t="s">
        <v>463</v>
      </c>
      <c r="Z36" s="9" t="s">
        <v>463</v>
      </c>
      <c r="AA36" s="9" t="s">
        <v>463</v>
      </c>
      <c r="AB36" s="9" t="s">
        <v>463</v>
      </c>
      <c r="AC36" s="9" t="s">
        <v>488</v>
      </c>
      <c r="AD36" s="9" t="s">
        <v>512</v>
      </c>
      <c r="AE36" s="9" t="n">
        <v>0</v>
      </c>
      <c r="AF36" s="9" t="n">
        <v>0</v>
      </c>
      <c r="AG36" s="9" t="n">
        <v>0</v>
      </c>
      <c r="AH36" s="9" t="n">
        <v>0</v>
      </c>
      <c r="AI36" s="9" t="n">
        <v>0</v>
      </c>
      <c r="AJ36" s="9" t="n">
        <v>0</v>
      </c>
      <c r="AK36" s="9" t="n">
        <v>0</v>
      </c>
      <c r="AL36" s="9" t="n">
        <v>0</v>
      </c>
      <c r="AM36" s="9" t="n">
        <v>0</v>
      </c>
      <c r="AN36" s="9" t="s">
        <v>376</v>
      </c>
      <c r="AO36" s="9" t="s">
        <v>536</v>
      </c>
      <c r="AP36" s="9" t="s">
        <v>537</v>
      </c>
      <c r="AQ36" s="9" t="s">
        <v>538</v>
      </c>
      <c r="AR36" s="9" t="s">
        <v>539</v>
      </c>
      <c r="AS36" s="9" t="s">
        <v>540</v>
      </c>
      <c r="AT36" s="9" t="s">
        <v>541</v>
      </c>
      <c r="AU36" s="9" t="s">
        <v>542</v>
      </c>
      <c r="AV36" s="9" t="s">
        <v>543</v>
      </c>
      <c r="AW36" s="9" t="s">
        <v>544</v>
      </c>
      <c r="AX36" s="9" t="s">
        <v>545</v>
      </c>
      <c r="AY36" s="9" t="s">
        <v>545</v>
      </c>
      <c r="AZ36" s="9" t="s">
        <v>546</v>
      </c>
      <c r="BA36" s="9" t="s">
        <v>547</v>
      </c>
      <c r="BB36" s="9" t="s">
        <v>548</v>
      </c>
      <c r="BC36" s="9" t="s">
        <v>549</v>
      </c>
      <c r="BD36" s="9" t="s">
        <v>550</v>
      </c>
      <c r="BE36" s="9" t="s">
        <v>550</v>
      </c>
      <c r="BF36" s="9" t="s">
        <v>551</v>
      </c>
      <c r="BG36" s="9" t="s">
        <v>552</v>
      </c>
      <c r="BH36" s="9" t="s">
        <v>552</v>
      </c>
      <c r="BI36" s="9" t="s">
        <v>552</v>
      </c>
      <c r="BJ36" s="9" t="s">
        <v>552</v>
      </c>
      <c r="BK36" s="9" t="s">
        <v>552</v>
      </c>
      <c r="BL36" s="9" t="s">
        <v>552</v>
      </c>
      <c r="BM36" s="9" t="s">
        <v>552</v>
      </c>
      <c r="BN36" s="9" t="s">
        <v>552</v>
      </c>
      <c r="BO36" s="9" t="s">
        <v>552</v>
      </c>
      <c r="BP36" s="9" t="s">
        <v>552</v>
      </c>
      <c r="BQ36" s="9" t="s">
        <v>553</v>
      </c>
      <c r="BR36" s="9" t="s">
        <v>554</v>
      </c>
      <c r="BS36" s="9" t="s">
        <v>555</v>
      </c>
      <c r="BT36" s="9" t="s">
        <v>556</v>
      </c>
      <c r="BU36" s="9" t="s">
        <v>557</v>
      </c>
      <c r="BV36" s="9" t="s">
        <v>558</v>
      </c>
      <c r="BW36" s="9" t="s">
        <v>352</v>
      </c>
      <c r="BX36" s="9" t="s">
        <v>352</v>
      </c>
      <c r="BY36" s="9" t="s">
        <v>352</v>
      </c>
      <c r="BZ36" s="9" t="s">
        <v>352</v>
      </c>
      <c r="CA36" s="9" t="s">
        <v>352</v>
      </c>
      <c r="CB36" s="9" t="s">
        <v>352</v>
      </c>
      <c r="CC36" s="9" t="s">
        <v>352</v>
      </c>
      <c r="CD36" s="9" t="s">
        <v>352</v>
      </c>
      <c r="CE36" s="9" t="s">
        <v>352</v>
      </c>
      <c r="CF36" s="9" t="s">
        <v>352</v>
      </c>
      <c r="CG36" s="9" t="s">
        <v>352</v>
      </c>
      <c r="CH36" s="9" t="s">
        <v>352</v>
      </c>
      <c r="CI36" s="9" t="s">
        <v>352</v>
      </c>
      <c r="CJ36" s="9" t="s">
        <v>352</v>
      </c>
      <c r="CK36" s="9" t="s">
        <v>352</v>
      </c>
      <c r="CL36" s="9" t="s">
        <v>352</v>
      </c>
      <c r="CM36" s="9" t="s">
        <v>352</v>
      </c>
      <c r="CN36" s="9" t="s">
        <v>352</v>
      </c>
      <c r="CO36" s="9" t="s">
        <v>352</v>
      </c>
      <c r="CP36" s="9" t="s">
        <v>352</v>
      </c>
    </row>
    <row r="37" spans="1:94" ht="15.75" customHeight="1">
      <c r="A37" s="56" t="s">
        <v>164</v>
      </c>
      <c r="B37" s="9" t="s">
        <v>352</v>
      </c>
      <c r="C37" s="9" t="s">
        <v>382</v>
      </c>
      <c r="D37" s="9" t="s">
        <v>382</v>
      </c>
      <c r="E37" s="9" t="s">
        <v>382</v>
      </c>
      <c r="F37" s="9" t="s">
        <v>382</v>
      </c>
      <c r="G37" s="9" t="s">
        <v>382</v>
      </c>
      <c r="H37" s="9" t="s">
        <v>382</v>
      </c>
      <c r="I37" s="9" t="s">
        <v>382</v>
      </c>
      <c r="J37" s="9" t="s">
        <v>382</v>
      </c>
      <c r="K37" s="9" t="s">
        <v>382</v>
      </c>
      <c r="L37" s="9" t="s">
        <v>410</v>
      </c>
      <c r="M37" s="9" t="s">
        <v>437</v>
      </c>
      <c r="N37" s="9" t="s">
        <v>463</v>
      </c>
      <c r="O37" s="9" t="s">
        <v>463</v>
      </c>
      <c r="P37" s="9" t="s">
        <v>463</v>
      </c>
      <c r="Q37" s="9" t="s">
        <v>463</v>
      </c>
      <c r="R37" s="9" t="s">
        <v>463</v>
      </c>
      <c r="S37" s="9" t="s">
        <v>463</v>
      </c>
      <c r="T37" s="9" t="s">
        <v>463</v>
      </c>
      <c r="U37" s="9" t="s">
        <v>463</v>
      </c>
      <c r="V37" s="9" t="s">
        <v>463</v>
      </c>
      <c r="W37" s="9" t="s">
        <v>463</v>
      </c>
      <c r="X37" s="9" t="s">
        <v>463</v>
      </c>
      <c r="Y37" s="9" t="s">
        <v>463</v>
      </c>
      <c r="Z37" s="9" t="s">
        <v>463</v>
      </c>
      <c r="AA37" s="9" t="s">
        <v>463</v>
      </c>
      <c r="AB37" s="9" t="s">
        <v>463</v>
      </c>
      <c r="AC37" s="9" t="s">
        <v>488</v>
      </c>
      <c r="AD37" s="9" t="s">
        <v>512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s">
        <v>376</v>
      </c>
      <c r="AO37" s="9" t="s">
        <v>536</v>
      </c>
      <c r="AP37" s="9" t="s">
        <v>537</v>
      </c>
      <c r="AQ37" s="9" t="s">
        <v>538</v>
      </c>
      <c r="AR37" s="9" t="s">
        <v>539</v>
      </c>
      <c r="AS37" s="9" t="s">
        <v>540</v>
      </c>
      <c r="AT37" s="9" t="s">
        <v>541</v>
      </c>
      <c r="AU37" s="9" t="s">
        <v>542</v>
      </c>
      <c r="AV37" s="9" t="s">
        <v>543</v>
      </c>
      <c r="AW37" s="9" t="s">
        <v>544</v>
      </c>
      <c r="AX37" s="9" t="s">
        <v>545</v>
      </c>
      <c r="AY37" s="9" t="s">
        <v>545</v>
      </c>
      <c r="AZ37" s="9" t="s">
        <v>546</v>
      </c>
      <c r="BA37" s="9" t="s">
        <v>547</v>
      </c>
      <c r="BB37" s="9" t="s">
        <v>548</v>
      </c>
      <c r="BC37" s="9" t="s">
        <v>549</v>
      </c>
      <c r="BD37" s="9" t="s">
        <v>550</v>
      </c>
      <c r="BE37" s="9" t="s">
        <v>550</v>
      </c>
      <c r="BF37" s="9" t="s">
        <v>551</v>
      </c>
      <c r="BG37" s="9" t="s">
        <v>552</v>
      </c>
      <c r="BH37" s="9" t="s">
        <v>552</v>
      </c>
      <c r="BI37" s="9" t="s">
        <v>552</v>
      </c>
      <c r="BJ37" s="9" t="s">
        <v>552</v>
      </c>
      <c r="BK37" s="9" t="s">
        <v>552</v>
      </c>
      <c r="BL37" s="9" t="s">
        <v>552</v>
      </c>
      <c r="BM37" s="9" t="s">
        <v>552</v>
      </c>
      <c r="BN37" s="9" t="s">
        <v>552</v>
      </c>
      <c r="BO37" s="9" t="s">
        <v>552</v>
      </c>
      <c r="BP37" s="9" t="s">
        <v>552</v>
      </c>
      <c r="BQ37" s="9" t="s">
        <v>553</v>
      </c>
      <c r="BR37" s="9" t="s">
        <v>554</v>
      </c>
      <c r="BS37" s="9" t="s">
        <v>555</v>
      </c>
      <c r="BT37" s="9" t="s">
        <v>556</v>
      </c>
      <c r="BU37" s="9" t="s">
        <v>557</v>
      </c>
      <c r="BV37" s="9" t="s">
        <v>558</v>
      </c>
      <c r="BW37" s="9" t="s">
        <v>352</v>
      </c>
      <c r="BX37" s="9" t="s">
        <v>352</v>
      </c>
      <c r="BY37" s="9" t="s">
        <v>352</v>
      </c>
      <c r="BZ37" s="9" t="s">
        <v>352</v>
      </c>
      <c r="CA37" s="9" t="s">
        <v>352</v>
      </c>
      <c r="CB37" s="9" t="s">
        <v>352</v>
      </c>
      <c r="CC37" s="9" t="s">
        <v>352</v>
      </c>
      <c r="CD37" s="9" t="s">
        <v>352</v>
      </c>
      <c r="CE37" s="9" t="s">
        <v>352</v>
      </c>
      <c r="CF37" s="9" t="s">
        <v>352</v>
      </c>
      <c r="CG37" s="9" t="s">
        <v>352</v>
      </c>
      <c r="CH37" s="9" t="s">
        <v>352</v>
      </c>
      <c r="CI37" s="9" t="s">
        <v>352</v>
      </c>
      <c r="CJ37" s="9" t="s">
        <v>352</v>
      </c>
      <c r="CK37" s="9" t="s">
        <v>352</v>
      </c>
      <c r="CL37" s="9" t="s">
        <v>352</v>
      </c>
      <c r="CM37" s="9" t="s">
        <v>352</v>
      </c>
      <c r="CN37" s="9" t="s">
        <v>352</v>
      </c>
      <c r="CO37" s="9" t="s">
        <v>352</v>
      </c>
      <c r="CP37" s="9" t="s">
        <v>352</v>
      </c>
    </row>
    <row r="38" spans="1:94" ht="15.75" customHeight="1">
      <c r="A38" s="56" t="s">
        <v>166</v>
      </c>
      <c r="B38" s="9" t="s">
        <v>352</v>
      </c>
      <c r="C38" s="9" t="s">
        <v>382</v>
      </c>
      <c r="D38" s="9" t="s">
        <v>382</v>
      </c>
      <c r="E38" s="9" t="s">
        <v>382</v>
      </c>
      <c r="F38" s="9" t="s">
        <v>382</v>
      </c>
      <c r="G38" s="9" t="s">
        <v>382</v>
      </c>
      <c r="H38" s="9" t="s">
        <v>382</v>
      </c>
      <c r="I38" s="9" t="s">
        <v>382</v>
      </c>
      <c r="J38" s="9" t="s">
        <v>382</v>
      </c>
      <c r="K38" s="9" t="s">
        <v>382</v>
      </c>
      <c r="L38" s="9" t="s">
        <v>410</v>
      </c>
      <c r="M38" s="9" t="s">
        <v>437</v>
      </c>
      <c r="N38" s="9" t="s">
        <v>463</v>
      </c>
      <c r="O38" s="9" t="s">
        <v>463</v>
      </c>
      <c r="P38" s="9" t="s">
        <v>463</v>
      </c>
      <c r="Q38" s="9" t="s">
        <v>463</v>
      </c>
      <c r="R38" s="9" t="s">
        <v>463</v>
      </c>
      <c r="S38" s="9" t="s">
        <v>463</v>
      </c>
      <c r="T38" s="9" t="s">
        <v>463</v>
      </c>
      <c r="U38" s="9" t="s">
        <v>463</v>
      </c>
      <c r="V38" s="9" t="s">
        <v>463</v>
      </c>
      <c r="W38" s="9" t="s">
        <v>463</v>
      </c>
      <c r="X38" s="9" t="s">
        <v>463</v>
      </c>
      <c r="Y38" s="9" t="s">
        <v>463</v>
      </c>
      <c r="Z38" s="9" t="s">
        <v>463</v>
      </c>
      <c r="AA38" s="9" t="s">
        <v>463</v>
      </c>
      <c r="AB38" s="9" t="s">
        <v>463</v>
      </c>
      <c r="AC38" s="9" t="s">
        <v>488</v>
      </c>
      <c r="AD38" s="9" t="s">
        <v>512</v>
      </c>
      <c r="AE38" s="9" t="n">
        <v>0</v>
      </c>
      <c r="AF38" s="9" t="n">
        <v>0</v>
      </c>
      <c r="AG38" s="9" t="n">
        <v>0</v>
      </c>
      <c r="AH38" s="9" t="n">
        <v>0</v>
      </c>
      <c r="AI38" s="9" t="n">
        <v>0</v>
      </c>
      <c r="AJ38" s="9" t="n">
        <v>0</v>
      </c>
      <c r="AK38" s="9" t="n">
        <v>0</v>
      </c>
      <c r="AL38" s="9" t="n">
        <v>0</v>
      </c>
      <c r="AM38" s="9" t="n">
        <v>0</v>
      </c>
      <c r="AN38" s="9" t="s">
        <v>376</v>
      </c>
      <c r="AO38" s="9" t="s">
        <v>536</v>
      </c>
      <c r="AP38" s="9" t="s">
        <v>537</v>
      </c>
      <c r="AQ38" s="9" t="s">
        <v>538</v>
      </c>
      <c r="AR38" s="9" t="s">
        <v>539</v>
      </c>
      <c r="AS38" s="9" t="s">
        <v>540</v>
      </c>
      <c r="AT38" s="9" t="s">
        <v>541</v>
      </c>
      <c r="AU38" s="9" t="s">
        <v>542</v>
      </c>
      <c r="AV38" s="9" t="s">
        <v>543</v>
      </c>
      <c r="AW38" s="9" t="s">
        <v>544</v>
      </c>
      <c r="AX38" s="9" t="s">
        <v>545</v>
      </c>
      <c r="AY38" s="9" t="s">
        <v>545</v>
      </c>
      <c r="AZ38" s="9" t="s">
        <v>546</v>
      </c>
      <c r="BA38" s="9" t="s">
        <v>547</v>
      </c>
      <c r="BB38" s="9" t="s">
        <v>548</v>
      </c>
      <c r="BC38" s="9" t="s">
        <v>549</v>
      </c>
      <c r="BD38" s="9" t="s">
        <v>550</v>
      </c>
      <c r="BE38" s="9" t="s">
        <v>550</v>
      </c>
      <c r="BF38" s="9" t="s">
        <v>551</v>
      </c>
      <c r="BG38" s="9" t="s">
        <v>552</v>
      </c>
      <c r="BH38" s="9" t="s">
        <v>552</v>
      </c>
      <c r="BI38" s="9" t="s">
        <v>552</v>
      </c>
      <c r="BJ38" s="9" t="s">
        <v>552</v>
      </c>
      <c r="BK38" s="9" t="s">
        <v>552</v>
      </c>
      <c r="BL38" s="9" t="s">
        <v>552</v>
      </c>
      <c r="BM38" s="9" t="s">
        <v>552</v>
      </c>
      <c r="BN38" s="9" t="s">
        <v>552</v>
      </c>
      <c r="BO38" s="9" t="s">
        <v>552</v>
      </c>
      <c r="BP38" s="9" t="s">
        <v>552</v>
      </c>
      <c r="BQ38" s="9" t="s">
        <v>553</v>
      </c>
      <c r="BR38" s="9" t="s">
        <v>554</v>
      </c>
      <c r="BS38" s="9" t="s">
        <v>555</v>
      </c>
      <c r="BT38" s="9" t="s">
        <v>556</v>
      </c>
      <c r="BU38" s="9" t="s">
        <v>557</v>
      </c>
      <c r="BV38" s="9" t="s">
        <v>558</v>
      </c>
      <c r="BW38" s="9" t="s">
        <v>352</v>
      </c>
      <c r="BX38" s="9" t="s">
        <v>352</v>
      </c>
      <c r="BY38" s="9" t="s">
        <v>352</v>
      </c>
      <c r="BZ38" s="9" t="s">
        <v>352</v>
      </c>
      <c r="CA38" s="9" t="s">
        <v>352</v>
      </c>
      <c r="CB38" s="9" t="s">
        <v>352</v>
      </c>
      <c r="CC38" s="9" t="s">
        <v>352</v>
      </c>
      <c r="CD38" s="9" t="s">
        <v>352</v>
      </c>
      <c r="CE38" s="9" t="s">
        <v>352</v>
      </c>
      <c r="CF38" s="9" t="s">
        <v>352</v>
      </c>
      <c r="CG38" s="9" t="s">
        <v>352</v>
      </c>
      <c r="CH38" s="9" t="s">
        <v>352</v>
      </c>
      <c r="CI38" s="9" t="s">
        <v>352</v>
      </c>
      <c r="CJ38" s="9" t="s">
        <v>352</v>
      </c>
      <c r="CK38" s="9" t="s">
        <v>352</v>
      </c>
      <c r="CL38" s="9" t="s">
        <v>352</v>
      </c>
      <c r="CM38" s="9" t="s">
        <v>352</v>
      </c>
      <c r="CN38" s="9" t="s">
        <v>352</v>
      </c>
      <c r="CO38" s="9" t="s">
        <v>352</v>
      </c>
      <c r="CP38" s="9" t="s">
        <v>352</v>
      </c>
    </row>
    <row r="39" spans="1:94" ht="15.75" customHeight="1">
      <c r="A39" s="56" t="s">
        <v>146</v>
      </c>
      <c r="B39" s="9" t="s">
        <v>352</v>
      </c>
      <c r="C39" s="9" t="s">
        <v>382</v>
      </c>
      <c r="D39" s="9" t="s">
        <v>382</v>
      </c>
      <c r="E39" s="9" t="s">
        <v>382</v>
      </c>
      <c r="F39" s="9" t="s">
        <v>382</v>
      </c>
      <c r="G39" s="9" t="s">
        <v>382</v>
      </c>
      <c r="H39" s="9" t="s">
        <v>382</v>
      </c>
      <c r="I39" s="9" t="s">
        <v>382</v>
      </c>
      <c r="J39" s="9" t="s">
        <v>382</v>
      </c>
      <c r="K39" s="9" t="s">
        <v>382</v>
      </c>
      <c r="L39" s="9" t="s">
        <v>410</v>
      </c>
      <c r="M39" s="9" t="s">
        <v>437</v>
      </c>
      <c r="N39" s="9" t="s">
        <v>463</v>
      </c>
      <c r="O39" s="9" t="s">
        <v>463</v>
      </c>
      <c r="P39" s="9" t="s">
        <v>463</v>
      </c>
      <c r="Q39" s="9" t="s">
        <v>463</v>
      </c>
      <c r="R39" s="9" t="s">
        <v>463</v>
      </c>
      <c r="S39" s="9" t="s">
        <v>463</v>
      </c>
      <c r="T39" s="9" t="s">
        <v>463</v>
      </c>
      <c r="U39" s="9" t="s">
        <v>463</v>
      </c>
      <c r="V39" s="9" t="s">
        <v>463</v>
      </c>
      <c r="W39" s="9" t="s">
        <v>463</v>
      </c>
      <c r="X39" s="9" t="s">
        <v>463</v>
      </c>
      <c r="Y39" s="9" t="s">
        <v>463</v>
      </c>
      <c r="Z39" s="9" t="s">
        <v>463</v>
      </c>
      <c r="AA39" s="9" t="s">
        <v>463</v>
      </c>
      <c r="AB39" s="9" t="s">
        <v>463</v>
      </c>
      <c r="AC39" s="9" t="s">
        <v>488</v>
      </c>
      <c r="AD39" s="9" t="s">
        <v>512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s">
        <v>376</v>
      </c>
      <c r="AO39" s="9" t="s">
        <v>536</v>
      </c>
      <c r="AP39" s="9" t="s">
        <v>537</v>
      </c>
      <c r="AQ39" s="9" t="s">
        <v>538</v>
      </c>
      <c r="AR39" s="9" t="s">
        <v>539</v>
      </c>
      <c r="AS39" s="9" t="s">
        <v>540</v>
      </c>
      <c r="AT39" s="9" t="s">
        <v>541</v>
      </c>
      <c r="AU39" s="9" t="s">
        <v>542</v>
      </c>
      <c r="AV39" s="9" t="s">
        <v>543</v>
      </c>
      <c r="AW39" s="9" t="s">
        <v>544</v>
      </c>
      <c r="AX39" s="9" t="s">
        <v>545</v>
      </c>
      <c r="AY39" s="9" t="s">
        <v>545</v>
      </c>
      <c r="AZ39" s="9" t="s">
        <v>546</v>
      </c>
      <c r="BA39" s="9" t="s">
        <v>547</v>
      </c>
      <c r="BB39" s="9" t="s">
        <v>548</v>
      </c>
      <c r="BC39" s="9" t="s">
        <v>549</v>
      </c>
      <c r="BD39" s="9" t="s">
        <v>550</v>
      </c>
      <c r="BE39" s="9" t="s">
        <v>550</v>
      </c>
      <c r="BF39" s="9" t="s">
        <v>551</v>
      </c>
      <c r="BG39" s="9" t="s">
        <v>552</v>
      </c>
      <c r="BH39" s="9" t="s">
        <v>552</v>
      </c>
      <c r="BI39" s="9" t="s">
        <v>552</v>
      </c>
      <c r="BJ39" s="9" t="s">
        <v>552</v>
      </c>
      <c r="BK39" s="9" t="s">
        <v>552</v>
      </c>
      <c r="BL39" s="9" t="s">
        <v>552</v>
      </c>
      <c r="BM39" s="9" t="s">
        <v>552</v>
      </c>
      <c r="BN39" s="9" t="s">
        <v>552</v>
      </c>
      <c r="BO39" s="9" t="s">
        <v>552</v>
      </c>
      <c r="BP39" s="9" t="s">
        <v>552</v>
      </c>
      <c r="BQ39" s="9" t="s">
        <v>553</v>
      </c>
      <c r="BR39" s="9" t="s">
        <v>554</v>
      </c>
      <c r="BS39" s="9" t="s">
        <v>555</v>
      </c>
      <c r="BT39" s="9" t="s">
        <v>556</v>
      </c>
      <c r="BU39" s="9" t="s">
        <v>557</v>
      </c>
      <c r="BV39" s="9" t="s">
        <v>558</v>
      </c>
      <c r="BW39" s="9" t="s">
        <v>352</v>
      </c>
      <c r="BX39" s="9" t="s">
        <v>352</v>
      </c>
      <c r="BY39" s="9" t="s">
        <v>352</v>
      </c>
      <c r="BZ39" s="9" t="s">
        <v>352</v>
      </c>
      <c r="CA39" s="9" t="s">
        <v>352</v>
      </c>
      <c r="CB39" s="9" t="s">
        <v>352</v>
      </c>
      <c r="CC39" s="9" t="s">
        <v>352</v>
      </c>
      <c r="CD39" s="9" t="s">
        <v>352</v>
      </c>
      <c r="CE39" s="9" t="s">
        <v>352</v>
      </c>
      <c r="CF39" s="9" t="s">
        <v>352</v>
      </c>
      <c r="CG39" s="9" t="s">
        <v>352</v>
      </c>
      <c r="CH39" s="9" t="s">
        <v>352</v>
      </c>
      <c r="CI39" s="9" t="s">
        <v>352</v>
      </c>
      <c r="CJ39" s="9" t="s">
        <v>352</v>
      </c>
      <c r="CK39" s="9" t="s">
        <v>352</v>
      </c>
      <c r="CL39" s="9" t="s">
        <v>352</v>
      </c>
      <c r="CM39" s="9" t="s">
        <v>352</v>
      </c>
      <c r="CN39" s="9" t="s">
        <v>352</v>
      </c>
      <c r="CO39" s="9" t="s">
        <v>352</v>
      </c>
      <c r="CP39" s="9" t="s">
        <v>352</v>
      </c>
    </row>
    <row r="40" spans="1:94" ht="15.75" customHeight="1">
      <c r="A40" s="56" t="s">
        <v>128</v>
      </c>
      <c r="B40" s="9" t="s">
        <v>352</v>
      </c>
      <c r="C40" s="9" t="s">
        <v>382</v>
      </c>
      <c r="D40" s="9" t="s">
        <v>382</v>
      </c>
      <c r="E40" s="9" t="s">
        <v>382</v>
      </c>
      <c r="F40" s="9" t="s">
        <v>382</v>
      </c>
      <c r="G40" s="9" t="s">
        <v>382</v>
      </c>
      <c r="H40" s="9" t="s">
        <v>382</v>
      </c>
      <c r="I40" s="9" t="s">
        <v>382</v>
      </c>
      <c r="J40" s="9" t="s">
        <v>382</v>
      </c>
      <c r="K40" s="9" t="s">
        <v>382</v>
      </c>
      <c r="L40" s="9" t="s">
        <v>410</v>
      </c>
      <c r="M40" s="9" t="s">
        <v>437</v>
      </c>
      <c r="N40" s="9" t="s">
        <v>463</v>
      </c>
      <c r="O40" s="9" t="s">
        <v>463</v>
      </c>
      <c r="P40" s="9" t="s">
        <v>463</v>
      </c>
      <c r="Q40" s="9" t="s">
        <v>463</v>
      </c>
      <c r="R40" s="9" t="s">
        <v>463</v>
      </c>
      <c r="S40" s="9" t="s">
        <v>463</v>
      </c>
      <c r="T40" s="9" t="s">
        <v>463</v>
      </c>
      <c r="U40" s="9" t="s">
        <v>463</v>
      </c>
      <c r="V40" s="9" t="s">
        <v>463</v>
      </c>
      <c r="W40" s="9" t="s">
        <v>463</v>
      </c>
      <c r="X40" s="9" t="s">
        <v>463</v>
      </c>
      <c r="Y40" s="9" t="s">
        <v>463</v>
      </c>
      <c r="Z40" s="9" t="s">
        <v>463</v>
      </c>
      <c r="AA40" s="9" t="s">
        <v>463</v>
      </c>
      <c r="AB40" s="9" t="s">
        <v>463</v>
      </c>
      <c r="AC40" s="9" t="s">
        <v>488</v>
      </c>
      <c r="AD40" s="9" t="s">
        <v>512</v>
      </c>
      <c r="AE40" s="9" t="n">
        <v>0</v>
      </c>
      <c r="AF40" s="9" t="n">
        <v>0</v>
      </c>
      <c r="AG40" s="9" t="n">
        <v>0</v>
      </c>
      <c r="AH40" s="9" t="n">
        <v>0</v>
      </c>
      <c r="AI40" s="9" t="n">
        <v>0</v>
      </c>
      <c r="AJ40" s="9" t="n">
        <v>0</v>
      </c>
      <c r="AK40" s="9" t="n">
        <v>0</v>
      </c>
      <c r="AL40" s="9" t="n">
        <v>0</v>
      </c>
      <c r="AM40" s="9" t="n">
        <v>0</v>
      </c>
      <c r="AN40" s="9" t="s">
        <v>376</v>
      </c>
      <c r="AO40" s="9" t="s">
        <v>536</v>
      </c>
      <c r="AP40" s="9" t="s">
        <v>537</v>
      </c>
      <c r="AQ40" s="9" t="s">
        <v>538</v>
      </c>
      <c r="AR40" s="9" t="s">
        <v>539</v>
      </c>
      <c r="AS40" s="9" t="s">
        <v>540</v>
      </c>
      <c r="AT40" s="9" t="s">
        <v>541</v>
      </c>
      <c r="AU40" s="9" t="s">
        <v>542</v>
      </c>
      <c r="AV40" s="9" t="s">
        <v>543</v>
      </c>
      <c r="AW40" s="9" t="s">
        <v>544</v>
      </c>
      <c r="AX40" s="9" t="s">
        <v>545</v>
      </c>
      <c r="AY40" s="9" t="s">
        <v>545</v>
      </c>
      <c r="AZ40" s="9" t="s">
        <v>546</v>
      </c>
      <c r="BA40" s="9" t="s">
        <v>547</v>
      </c>
      <c r="BB40" s="9" t="s">
        <v>548</v>
      </c>
      <c r="BC40" s="9" t="s">
        <v>549</v>
      </c>
      <c r="BD40" s="9" t="s">
        <v>550</v>
      </c>
      <c r="BE40" s="9" t="s">
        <v>550</v>
      </c>
      <c r="BF40" s="9" t="s">
        <v>551</v>
      </c>
      <c r="BG40" s="9" t="s">
        <v>552</v>
      </c>
      <c r="BH40" s="9" t="s">
        <v>552</v>
      </c>
      <c r="BI40" s="9" t="s">
        <v>552</v>
      </c>
      <c r="BJ40" s="9" t="s">
        <v>552</v>
      </c>
      <c r="BK40" s="9" t="s">
        <v>552</v>
      </c>
      <c r="BL40" s="9" t="s">
        <v>552</v>
      </c>
      <c r="BM40" s="9" t="s">
        <v>552</v>
      </c>
      <c r="BN40" s="9" t="s">
        <v>552</v>
      </c>
      <c r="BO40" s="9" t="s">
        <v>552</v>
      </c>
      <c r="BP40" s="9" t="s">
        <v>552</v>
      </c>
      <c r="BQ40" s="9" t="s">
        <v>553</v>
      </c>
      <c r="BR40" s="9" t="s">
        <v>554</v>
      </c>
      <c r="BS40" s="9" t="s">
        <v>555</v>
      </c>
      <c r="BT40" s="9" t="s">
        <v>556</v>
      </c>
      <c r="BU40" s="9" t="s">
        <v>557</v>
      </c>
      <c r="BV40" s="9" t="s">
        <v>558</v>
      </c>
      <c r="BW40" s="9" t="s">
        <v>352</v>
      </c>
      <c r="BX40" s="9" t="s">
        <v>352</v>
      </c>
      <c r="BY40" s="9" t="s">
        <v>352</v>
      </c>
      <c r="BZ40" s="9" t="s">
        <v>352</v>
      </c>
      <c r="CA40" s="9" t="s">
        <v>352</v>
      </c>
      <c r="CB40" s="9" t="s">
        <v>352</v>
      </c>
      <c r="CC40" s="9" t="s">
        <v>352</v>
      </c>
      <c r="CD40" s="9" t="s">
        <v>352</v>
      </c>
      <c r="CE40" s="9" t="s">
        <v>352</v>
      </c>
      <c r="CF40" s="9" t="s">
        <v>352</v>
      </c>
      <c r="CG40" s="9" t="s">
        <v>352</v>
      </c>
      <c r="CH40" s="9" t="s">
        <v>352</v>
      </c>
      <c r="CI40" s="9" t="s">
        <v>352</v>
      </c>
      <c r="CJ40" s="9" t="s">
        <v>352</v>
      </c>
      <c r="CK40" s="9" t="s">
        <v>352</v>
      </c>
      <c r="CL40" s="9" t="s">
        <v>352</v>
      </c>
      <c r="CM40" s="9" t="s">
        <v>352</v>
      </c>
      <c r="CN40" s="9" t="s">
        <v>352</v>
      </c>
      <c r="CO40" s="9" t="s">
        <v>352</v>
      </c>
      <c r="CP40" s="9" t="s">
        <v>352</v>
      </c>
    </row>
    <row r="41" spans="1:94" ht="15.75" customHeight="1">
      <c r="A41" s="56" t="s">
        <v>156</v>
      </c>
      <c r="B41" s="9" t="s">
        <v>352</v>
      </c>
      <c r="C41" s="9" t="s">
        <v>382</v>
      </c>
      <c r="D41" s="9" t="s">
        <v>382</v>
      </c>
      <c r="E41" s="9" t="s">
        <v>382</v>
      </c>
      <c r="F41" s="9" t="s">
        <v>382</v>
      </c>
      <c r="G41" s="9" t="s">
        <v>382</v>
      </c>
      <c r="H41" s="9" t="s">
        <v>382</v>
      </c>
      <c r="I41" s="9" t="s">
        <v>382</v>
      </c>
      <c r="J41" s="9" t="s">
        <v>382</v>
      </c>
      <c r="K41" s="9" t="s">
        <v>382</v>
      </c>
      <c r="L41" s="9" t="s">
        <v>410</v>
      </c>
      <c r="M41" s="9" t="s">
        <v>437</v>
      </c>
      <c r="N41" s="9" t="s">
        <v>463</v>
      </c>
      <c r="O41" s="9" t="s">
        <v>463</v>
      </c>
      <c r="P41" s="9" t="s">
        <v>463</v>
      </c>
      <c r="Q41" s="9" t="s">
        <v>463</v>
      </c>
      <c r="R41" s="9" t="s">
        <v>463</v>
      </c>
      <c r="S41" s="9" t="s">
        <v>463</v>
      </c>
      <c r="T41" s="9" t="s">
        <v>463</v>
      </c>
      <c r="U41" s="9" t="s">
        <v>463</v>
      </c>
      <c r="V41" s="9" t="s">
        <v>463</v>
      </c>
      <c r="W41" s="9" t="s">
        <v>463</v>
      </c>
      <c r="X41" s="9" t="s">
        <v>463</v>
      </c>
      <c r="Y41" s="9" t="s">
        <v>463</v>
      </c>
      <c r="Z41" s="9" t="s">
        <v>463</v>
      </c>
      <c r="AA41" s="9" t="s">
        <v>463</v>
      </c>
      <c r="AB41" s="9" t="s">
        <v>463</v>
      </c>
      <c r="AC41" s="9" t="s">
        <v>488</v>
      </c>
      <c r="AD41" s="9" t="s">
        <v>512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s">
        <v>376</v>
      </c>
      <c r="AO41" s="9" t="s">
        <v>536</v>
      </c>
      <c r="AP41" s="9" t="s">
        <v>537</v>
      </c>
      <c r="AQ41" s="9" t="s">
        <v>538</v>
      </c>
      <c r="AR41" s="9" t="s">
        <v>539</v>
      </c>
      <c r="AS41" s="9" t="s">
        <v>540</v>
      </c>
      <c r="AT41" s="9" t="s">
        <v>541</v>
      </c>
      <c r="AU41" s="9" t="s">
        <v>542</v>
      </c>
      <c r="AV41" s="9" t="s">
        <v>543</v>
      </c>
      <c r="AW41" s="9" t="s">
        <v>544</v>
      </c>
      <c r="AX41" s="9" t="s">
        <v>545</v>
      </c>
      <c r="AY41" s="9" t="s">
        <v>545</v>
      </c>
      <c r="AZ41" s="9" t="s">
        <v>546</v>
      </c>
      <c r="BA41" s="9" t="s">
        <v>547</v>
      </c>
      <c r="BB41" s="9" t="s">
        <v>548</v>
      </c>
      <c r="BC41" s="9" t="s">
        <v>549</v>
      </c>
      <c r="BD41" s="9" t="s">
        <v>550</v>
      </c>
      <c r="BE41" s="9" t="s">
        <v>550</v>
      </c>
      <c r="BF41" s="9" t="s">
        <v>551</v>
      </c>
      <c r="BG41" s="9" t="s">
        <v>552</v>
      </c>
      <c r="BH41" s="9" t="s">
        <v>552</v>
      </c>
      <c r="BI41" s="9" t="s">
        <v>552</v>
      </c>
      <c r="BJ41" s="9" t="s">
        <v>552</v>
      </c>
      <c r="BK41" s="9" t="s">
        <v>552</v>
      </c>
      <c r="BL41" s="9" t="s">
        <v>552</v>
      </c>
      <c r="BM41" s="9" t="s">
        <v>552</v>
      </c>
      <c r="BN41" s="9" t="s">
        <v>552</v>
      </c>
      <c r="BO41" s="9" t="s">
        <v>552</v>
      </c>
      <c r="BP41" s="9" t="s">
        <v>552</v>
      </c>
      <c r="BQ41" s="9" t="s">
        <v>553</v>
      </c>
      <c r="BR41" s="9" t="s">
        <v>554</v>
      </c>
      <c r="BS41" s="9" t="s">
        <v>555</v>
      </c>
      <c r="BT41" s="9" t="s">
        <v>556</v>
      </c>
      <c r="BU41" s="9" t="s">
        <v>557</v>
      </c>
      <c r="BV41" s="9" t="s">
        <v>558</v>
      </c>
      <c r="BW41" s="9" t="s">
        <v>352</v>
      </c>
      <c r="BX41" s="9" t="s">
        <v>352</v>
      </c>
      <c r="BY41" s="9" t="s">
        <v>352</v>
      </c>
      <c r="BZ41" s="9" t="s">
        <v>352</v>
      </c>
      <c r="CA41" s="9" t="s">
        <v>352</v>
      </c>
      <c r="CB41" s="9" t="s">
        <v>352</v>
      </c>
      <c r="CC41" s="9" t="s">
        <v>352</v>
      </c>
      <c r="CD41" s="9" t="s">
        <v>352</v>
      </c>
      <c r="CE41" s="9" t="s">
        <v>352</v>
      </c>
      <c r="CF41" s="9" t="s">
        <v>352</v>
      </c>
      <c r="CG41" s="9" t="s">
        <v>352</v>
      </c>
      <c r="CH41" s="9" t="s">
        <v>352</v>
      </c>
      <c r="CI41" s="9" t="s">
        <v>352</v>
      </c>
      <c r="CJ41" s="9" t="s">
        <v>352</v>
      </c>
      <c r="CK41" s="9" t="s">
        <v>352</v>
      </c>
      <c r="CL41" s="9" t="s">
        <v>352</v>
      </c>
      <c r="CM41" s="9" t="s">
        <v>352</v>
      </c>
      <c r="CN41" s="9" t="s">
        <v>352</v>
      </c>
      <c r="CO41" s="9" t="s">
        <v>352</v>
      </c>
      <c r="CP41" s="9" t="s">
        <v>352</v>
      </c>
    </row>
    <row r="42" spans="1:94" ht="15.75" customHeight="1">
      <c r="A42" s="56" t="s">
        <v>140</v>
      </c>
      <c r="B42" s="9" t="s">
        <v>352</v>
      </c>
      <c r="C42" s="9" t="s">
        <v>382</v>
      </c>
      <c r="D42" s="9" t="s">
        <v>382</v>
      </c>
      <c r="E42" s="9" t="s">
        <v>382</v>
      </c>
      <c r="F42" s="9" t="s">
        <v>382</v>
      </c>
      <c r="G42" s="9" t="s">
        <v>382</v>
      </c>
      <c r="H42" s="9" t="s">
        <v>382</v>
      </c>
      <c r="I42" s="9" t="s">
        <v>382</v>
      </c>
      <c r="J42" s="9" t="s">
        <v>382</v>
      </c>
      <c r="K42" s="9" t="s">
        <v>382</v>
      </c>
      <c r="L42" s="9" t="s">
        <v>410</v>
      </c>
      <c r="M42" s="9" t="s">
        <v>437</v>
      </c>
      <c r="N42" s="9" t="s">
        <v>463</v>
      </c>
      <c r="O42" s="9" t="s">
        <v>463</v>
      </c>
      <c r="P42" s="9" t="s">
        <v>463</v>
      </c>
      <c r="Q42" s="9" t="s">
        <v>463</v>
      </c>
      <c r="R42" s="9" t="s">
        <v>463</v>
      </c>
      <c r="S42" s="9" t="s">
        <v>463</v>
      </c>
      <c r="T42" s="9" t="s">
        <v>463</v>
      </c>
      <c r="U42" s="9" t="s">
        <v>463</v>
      </c>
      <c r="V42" s="9" t="s">
        <v>463</v>
      </c>
      <c r="W42" s="9" t="s">
        <v>463</v>
      </c>
      <c r="X42" s="9" t="s">
        <v>463</v>
      </c>
      <c r="Y42" s="9" t="s">
        <v>463</v>
      </c>
      <c r="Z42" s="9" t="s">
        <v>463</v>
      </c>
      <c r="AA42" s="9" t="s">
        <v>463</v>
      </c>
      <c r="AB42" s="9" t="s">
        <v>463</v>
      </c>
      <c r="AC42" s="9" t="s">
        <v>488</v>
      </c>
      <c r="AD42" s="9" t="s">
        <v>512</v>
      </c>
      <c r="AE42" s="9" t="s">
        <v>376</v>
      </c>
      <c r="AF42" s="9" t="s">
        <v>376</v>
      </c>
      <c r="AG42" s="9" t="s">
        <v>376</v>
      </c>
      <c r="AH42" s="9" t="s">
        <v>376</v>
      </c>
      <c r="AI42" s="9" t="s">
        <v>376</v>
      </c>
      <c r="AJ42" s="9" t="s">
        <v>376</v>
      </c>
      <c r="AK42" s="9" t="s">
        <v>376</v>
      </c>
      <c r="AL42" s="9" t="s">
        <v>376</v>
      </c>
      <c r="AM42" s="9" t="s">
        <v>376</v>
      </c>
      <c r="AN42" s="9" t="n">
        <v>0</v>
      </c>
      <c r="AO42" s="9" t="s">
        <v>536</v>
      </c>
      <c r="AP42" s="9" t="s">
        <v>537</v>
      </c>
      <c r="AQ42" s="9" t="s">
        <v>538</v>
      </c>
      <c r="AR42" s="9" t="s">
        <v>539</v>
      </c>
      <c r="AS42" s="9" t="s">
        <v>540</v>
      </c>
      <c r="AT42" s="9" t="s">
        <v>541</v>
      </c>
      <c r="AU42" s="9" t="s">
        <v>542</v>
      </c>
      <c r="AV42" s="9" t="s">
        <v>543</v>
      </c>
      <c r="AW42" s="9" t="s">
        <v>544</v>
      </c>
      <c r="AX42" s="9" t="s">
        <v>545</v>
      </c>
      <c r="AY42" s="9" t="s">
        <v>545</v>
      </c>
      <c r="AZ42" s="9" t="s">
        <v>546</v>
      </c>
      <c r="BA42" s="9" t="s">
        <v>547</v>
      </c>
      <c r="BB42" s="9" t="s">
        <v>548</v>
      </c>
      <c r="BC42" s="9" t="s">
        <v>549</v>
      </c>
      <c r="BD42" s="9" t="s">
        <v>550</v>
      </c>
      <c r="BE42" s="9" t="s">
        <v>550</v>
      </c>
      <c r="BF42" s="9" t="s">
        <v>551</v>
      </c>
      <c r="BG42" s="9" t="s">
        <v>552</v>
      </c>
      <c r="BH42" s="9" t="s">
        <v>552</v>
      </c>
      <c r="BI42" s="9" t="s">
        <v>552</v>
      </c>
      <c r="BJ42" s="9" t="s">
        <v>552</v>
      </c>
      <c r="BK42" s="9" t="s">
        <v>552</v>
      </c>
      <c r="BL42" s="9" t="s">
        <v>552</v>
      </c>
      <c r="BM42" s="9" t="s">
        <v>552</v>
      </c>
      <c r="BN42" s="9" t="s">
        <v>552</v>
      </c>
      <c r="BO42" s="9" t="s">
        <v>552</v>
      </c>
      <c r="BP42" s="9" t="s">
        <v>552</v>
      </c>
      <c r="BQ42" s="9" t="s">
        <v>553</v>
      </c>
      <c r="BR42" s="9" t="s">
        <v>554</v>
      </c>
      <c r="BS42" s="9" t="s">
        <v>555</v>
      </c>
      <c r="BT42" s="9" t="s">
        <v>556</v>
      </c>
      <c r="BU42" s="9" t="s">
        <v>557</v>
      </c>
      <c r="BV42" s="9" t="s">
        <v>558</v>
      </c>
      <c r="BW42" s="9" t="s">
        <v>352</v>
      </c>
      <c r="BX42" s="9" t="s">
        <v>352</v>
      </c>
      <c r="BY42" s="9" t="s">
        <v>352</v>
      </c>
      <c r="BZ42" s="9" t="s">
        <v>352</v>
      </c>
      <c r="CA42" s="9" t="s">
        <v>352</v>
      </c>
      <c r="CB42" s="9" t="s">
        <v>352</v>
      </c>
      <c r="CC42" s="9" t="s">
        <v>352</v>
      </c>
      <c r="CD42" s="9" t="s">
        <v>352</v>
      </c>
      <c r="CE42" s="9" t="s">
        <v>352</v>
      </c>
      <c r="CF42" s="9" t="s">
        <v>352</v>
      </c>
      <c r="CG42" s="9" t="s">
        <v>352</v>
      </c>
      <c r="CH42" s="9" t="s">
        <v>352</v>
      </c>
      <c r="CI42" s="9" t="s">
        <v>352</v>
      </c>
      <c r="CJ42" s="9" t="s">
        <v>352</v>
      </c>
      <c r="CK42" s="9" t="s">
        <v>352</v>
      </c>
      <c r="CL42" s="9" t="s">
        <v>352</v>
      </c>
      <c r="CM42" s="9" t="s">
        <v>352</v>
      </c>
      <c r="CN42" s="9" t="s">
        <v>352</v>
      </c>
      <c r="CO42" s="9" t="s">
        <v>352</v>
      </c>
      <c r="CP42" s="9" t="s">
        <v>352</v>
      </c>
    </row>
    <row r="43" spans="1:94" ht="15.75" customHeight="1">
      <c r="A43" s="56" t="s">
        <v>138</v>
      </c>
      <c r="B43" s="9" t="s">
        <v>353</v>
      </c>
      <c r="C43" s="9" t="s">
        <v>383</v>
      </c>
      <c r="D43" s="9" t="s">
        <v>383</v>
      </c>
      <c r="E43" s="9" t="s">
        <v>383</v>
      </c>
      <c r="F43" s="9" t="s">
        <v>383</v>
      </c>
      <c r="G43" s="9" t="s">
        <v>383</v>
      </c>
      <c r="H43" s="9" t="s">
        <v>383</v>
      </c>
      <c r="I43" s="9" t="s">
        <v>383</v>
      </c>
      <c r="J43" s="9" t="s">
        <v>383</v>
      </c>
      <c r="K43" s="9" t="s">
        <v>383</v>
      </c>
      <c r="L43" s="9" t="s">
        <v>411</v>
      </c>
      <c r="M43" s="9" t="s">
        <v>438</v>
      </c>
      <c r="N43" s="9" t="s">
        <v>464</v>
      </c>
      <c r="O43" s="9" t="s">
        <v>464</v>
      </c>
      <c r="P43" s="9" t="s">
        <v>464</v>
      </c>
      <c r="Q43" s="9" t="s">
        <v>464</v>
      </c>
      <c r="R43" s="9" t="s">
        <v>464</v>
      </c>
      <c r="S43" s="9" t="s">
        <v>464</v>
      </c>
      <c r="T43" s="9" t="s">
        <v>464</v>
      </c>
      <c r="U43" s="9" t="s">
        <v>464</v>
      </c>
      <c r="V43" s="9" t="s">
        <v>464</v>
      </c>
      <c r="W43" s="9" t="s">
        <v>464</v>
      </c>
      <c r="X43" s="9" t="s">
        <v>464</v>
      </c>
      <c r="Y43" s="9" t="s">
        <v>464</v>
      </c>
      <c r="Z43" s="9" t="s">
        <v>464</v>
      </c>
      <c r="AA43" s="9" t="s">
        <v>464</v>
      </c>
      <c r="AB43" s="9" t="s">
        <v>464</v>
      </c>
      <c r="AC43" s="9" t="s">
        <v>489</v>
      </c>
      <c r="AD43" s="9" t="s">
        <v>513</v>
      </c>
      <c r="AE43" s="9" t="s">
        <v>536</v>
      </c>
      <c r="AF43" s="9" t="s">
        <v>536</v>
      </c>
      <c r="AG43" s="9" t="s">
        <v>536</v>
      </c>
      <c r="AH43" s="9" t="s">
        <v>536</v>
      </c>
      <c r="AI43" s="9" t="s">
        <v>536</v>
      </c>
      <c r="AJ43" s="9" t="s">
        <v>536</v>
      </c>
      <c r="AK43" s="9" t="s">
        <v>536</v>
      </c>
      <c r="AL43" s="9" t="s">
        <v>536</v>
      </c>
      <c r="AM43" s="9" t="s">
        <v>536</v>
      </c>
      <c r="AN43" s="9" t="s">
        <v>536</v>
      </c>
      <c r="AO43" s="9" t="n">
        <v>0</v>
      </c>
      <c r="AP43" s="9" t="s">
        <v>559</v>
      </c>
      <c r="AQ43" s="9" t="s">
        <v>560</v>
      </c>
      <c r="AR43" s="9" t="s">
        <v>561</v>
      </c>
      <c r="AS43" s="9" t="s">
        <v>562</v>
      </c>
      <c r="AT43" s="9" t="s">
        <v>563</v>
      </c>
      <c r="AU43" s="9" t="s">
        <v>564</v>
      </c>
      <c r="AV43" s="9" t="s">
        <v>565</v>
      </c>
      <c r="AW43" s="9" t="s">
        <v>566</v>
      </c>
      <c r="AX43" s="9" t="s">
        <v>567</v>
      </c>
      <c r="AY43" s="9" t="s">
        <v>567</v>
      </c>
      <c r="AZ43" s="9" t="s">
        <v>568</v>
      </c>
      <c r="BA43" s="9" t="s">
        <v>569</v>
      </c>
      <c r="BB43" s="9" t="s">
        <v>570</v>
      </c>
      <c r="BC43" s="9" t="s">
        <v>571</v>
      </c>
      <c r="BD43" s="9" t="s">
        <v>572</v>
      </c>
      <c r="BE43" s="9" t="s">
        <v>572</v>
      </c>
      <c r="BF43" s="9" t="s">
        <v>573</v>
      </c>
      <c r="BG43" s="9" t="s">
        <v>574</v>
      </c>
      <c r="BH43" s="9" t="s">
        <v>574</v>
      </c>
      <c r="BI43" s="9" t="s">
        <v>574</v>
      </c>
      <c r="BJ43" s="9" t="s">
        <v>574</v>
      </c>
      <c r="BK43" s="9" t="s">
        <v>574</v>
      </c>
      <c r="BL43" s="9" t="s">
        <v>574</v>
      </c>
      <c r="BM43" s="9" t="s">
        <v>574</v>
      </c>
      <c r="BN43" s="9" t="s">
        <v>574</v>
      </c>
      <c r="BO43" s="9" t="s">
        <v>574</v>
      </c>
      <c r="BP43" s="9" t="s">
        <v>574</v>
      </c>
      <c r="BQ43" s="9" t="s">
        <v>575</v>
      </c>
      <c r="BR43" s="9" t="s">
        <v>576</v>
      </c>
      <c r="BS43" s="9" t="s">
        <v>577</v>
      </c>
      <c r="BT43" s="9" t="s">
        <v>578</v>
      </c>
      <c r="BU43" s="9" t="s">
        <v>579</v>
      </c>
      <c r="BV43" s="9" t="s">
        <v>580</v>
      </c>
      <c r="BW43" s="9" t="s">
        <v>353</v>
      </c>
      <c r="BX43" s="9" t="s">
        <v>353</v>
      </c>
      <c r="BY43" s="9" t="s">
        <v>353</v>
      </c>
      <c r="BZ43" s="9" t="s">
        <v>353</v>
      </c>
      <c r="CA43" s="9" t="s">
        <v>353</v>
      </c>
      <c r="CB43" s="9" t="s">
        <v>353</v>
      </c>
      <c r="CC43" s="9" t="s">
        <v>353</v>
      </c>
      <c r="CD43" s="9" t="s">
        <v>353</v>
      </c>
      <c r="CE43" s="9" t="s">
        <v>353</v>
      </c>
      <c r="CF43" s="9" t="s">
        <v>353</v>
      </c>
      <c r="CG43" s="9" t="s">
        <v>353</v>
      </c>
      <c r="CH43" s="9" t="s">
        <v>353</v>
      </c>
      <c r="CI43" s="9" t="s">
        <v>353</v>
      </c>
      <c r="CJ43" s="9" t="s">
        <v>353</v>
      </c>
      <c r="CK43" s="9" t="s">
        <v>353</v>
      </c>
      <c r="CL43" s="9" t="s">
        <v>353</v>
      </c>
      <c r="CM43" s="9" t="s">
        <v>353</v>
      </c>
      <c r="CN43" s="9" t="s">
        <v>353</v>
      </c>
      <c r="CO43" s="9" t="s">
        <v>353</v>
      </c>
      <c r="CP43" s="9" t="s">
        <v>353</v>
      </c>
    </row>
    <row r="44" spans="1:94" ht="15.75" customHeight="1">
      <c r="A44" s="56" t="s">
        <v>130</v>
      </c>
      <c r="B44" s="9" t="s">
        <v>354</v>
      </c>
      <c r="C44" s="9" t="s">
        <v>384</v>
      </c>
      <c r="D44" s="9" t="s">
        <v>384</v>
      </c>
      <c r="E44" s="9" t="s">
        <v>384</v>
      </c>
      <c r="F44" s="9" t="s">
        <v>384</v>
      </c>
      <c r="G44" s="9" t="s">
        <v>384</v>
      </c>
      <c r="H44" s="9" t="s">
        <v>384</v>
      </c>
      <c r="I44" s="9" t="s">
        <v>384</v>
      </c>
      <c r="J44" s="9" t="s">
        <v>384</v>
      </c>
      <c r="K44" s="9" t="s">
        <v>384</v>
      </c>
      <c r="L44" s="9" t="s">
        <v>412</v>
      </c>
      <c r="M44" s="9" t="s">
        <v>439</v>
      </c>
      <c r="N44" s="9" t="s">
        <v>465</v>
      </c>
      <c r="O44" s="9" t="s">
        <v>465</v>
      </c>
      <c r="P44" s="9" t="s">
        <v>465</v>
      </c>
      <c r="Q44" s="9" t="s">
        <v>465</v>
      </c>
      <c r="R44" s="9" t="s">
        <v>465</v>
      </c>
      <c r="S44" s="9" t="s">
        <v>465</v>
      </c>
      <c r="T44" s="9" t="s">
        <v>465</v>
      </c>
      <c r="U44" s="9" t="s">
        <v>465</v>
      </c>
      <c r="V44" s="9" t="s">
        <v>465</v>
      </c>
      <c r="W44" s="9" t="s">
        <v>465</v>
      </c>
      <c r="X44" s="9" t="s">
        <v>465</v>
      </c>
      <c r="Y44" s="9" t="s">
        <v>465</v>
      </c>
      <c r="Z44" s="9" t="s">
        <v>465</v>
      </c>
      <c r="AA44" s="9" t="s">
        <v>465</v>
      </c>
      <c r="AB44" s="9" t="s">
        <v>465</v>
      </c>
      <c r="AC44" s="9" t="s">
        <v>490</v>
      </c>
      <c r="AD44" s="9" t="s">
        <v>514</v>
      </c>
      <c r="AE44" s="9" t="s">
        <v>537</v>
      </c>
      <c r="AF44" s="9" t="s">
        <v>537</v>
      </c>
      <c r="AG44" s="9" t="s">
        <v>537</v>
      </c>
      <c r="AH44" s="9" t="s">
        <v>537</v>
      </c>
      <c r="AI44" s="9" t="s">
        <v>537</v>
      </c>
      <c r="AJ44" s="9" t="s">
        <v>537</v>
      </c>
      <c r="AK44" s="9" t="s">
        <v>537</v>
      </c>
      <c r="AL44" s="9" t="s">
        <v>537</v>
      </c>
      <c r="AM44" s="9" t="s">
        <v>537</v>
      </c>
      <c r="AN44" s="9" t="s">
        <v>537</v>
      </c>
      <c r="AO44" s="9" t="s">
        <v>559</v>
      </c>
      <c r="AP44" s="9" t="n">
        <v>0</v>
      </c>
      <c r="AQ44" s="9" t="s">
        <v>581</v>
      </c>
      <c r="AR44" s="9" t="s">
        <v>582</v>
      </c>
      <c r="AS44" s="9" t="s">
        <v>583</v>
      </c>
      <c r="AT44" s="9" t="s">
        <v>584</v>
      </c>
      <c r="AU44" s="9" t="s">
        <v>585</v>
      </c>
      <c r="AV44" s="9" t="s">
        <v>586</v>
      </c>
      <c r="AW44" s="9" t="s">
        <v>587</v>
      </c>
      <c r="AX44" s="9" t="s">
        <v>588</v>
      </c>
      <c r="AY44" s="9" t="s">
        <v>588</v>
      </c>
      <c r="AZ44" s="9" t="s">
        <v>589</v>
      </c>
      <c r="BA44" s="9" t="s">
        <v>590</v>
      </c>
      <c r="BB44" s="9" t="s">
        <v>591</v>
      </c>
      <c r="BC44" s="9" t="s">
        <v>592</v>
      </c>
      <c r="BD44" s="9" t="s">
        <v>593</v>
      </c>
      <c r="BE44" s="9" t="s">
        <v>593</v>
      </c>
      <c r="BF44" s="9" t="s">
        <v>594</v>
      </c>
      <c r="BG44" s="9" t="s">
        <v>595</v>
      </c>
      <c r="BH44" s="9" t="s">
        <v>595</v>
      </c>
      <c r="BI44" s="9" t="s">
        <v>595</v>
      </c>
      <c r="BJ44" s="9" t="s">
        <v>595</v>
      </c>
      <c r="BK44" s="9" t="s">
        <v>595</v>
      </c>
      <c r="BL44" s="9" t="s">
        <v>595</v>
      </c>
      <c r="BM44" s="9" t="s">
        <v>595</v>
      </c>
      <c r="BN44" s="9" t="s">
        <v>595</v>
      </c>
      <c r="BO44" s="9" t="s">
        <v>595</v>
      </c>
      <c r="BP44" s="9" t="s">
        <v>595</v>
      </c>
      <c r="BQ44" s="9" t="s">
        <v>596</v>
      </c>
      <c r="BR44" s="9" t="s">
        <v>597</v>
      </c>
      <c r="BS44" s="9" t="s">
        <v>598</v>
      </c>
      <c r="BT44" s="9" t="s">
        <v>599</v>
      </c>
      <c r="BU44" s="9" t="s">
        <v>600</v>
      </c>
      <c r="BV44" s="9" t="s">
        <v>601</v>
      </c>
      <c r="BW44" s="9" t="s">
        <v>354</v>
      </c>
      <c r="BX44" s="9" t="s">
        <v>354</v>
      </c>
      <c r="BY44" s="9" t="s">
        <v>354</v>
      </c>
      <c r="BZ44" s="9" t="s">
        <v>354</v>
      </c>
      <c r="CA44" s="9" t="s">
        <v>354</v>
      </c>
      <c r="CB44" s="9" t="s">
        <v>354</v>
      </c>
      <c r="CC44" s="9" t="s">
        <v>354</v>
      </c>
      <c r="CD44" s="9" t="s">
        <v>354</v>
      </c>
      <c r="CE44" s="9" t="s">
        <v>354</v>
      </c>
      <c r="CF44" s="9" t="s">
        <v>354</v>
      </c>
      <c r="CG44" s="9" t="s">
        <v>354</v>
      </c>
      <c r="CH44" s="9" t="s">
        <v>354</v>
      </c>
      <c r="CI44" s="9" t="s">
        <v>354</v>
      </c>
      <c r="CJ44" s="9" t="s">
        <v>354</v>
      </c>
      <c r="CK44" s="9" t="s">
        <v>354</v>
      </c>
      <c r="CL44" s="9" t="s">
        <v>354</v>
      </c>
      <c r="CM44" s="9" t="s">
        <v>354</v>
      </c>
      <c r="CN44" s="9" t="s">
        <v>354</v>
      </c>
      <c r="CO44" s="9" t="s">
        <v>354</v>
      </c>
      <c r="CP44" s="9" t="s">
        <v>354</v>
      </c>
    </row>
    <row r="45" spans="1:94" ht="15.75" customHeight="1">
      <c r="A45" s="56" t="s">
        <v>159</v>
      </c>
      <c r="B45" s="9" t="s">
        <v>355</v>
      </c>
      <c r="C45" s="9" t="s">
        <v>385</v>
      </c>
      <c r="D45" s="9" t="s">
        <v>385</v>
      </c>
      <c r="E45" s="9" t="s">
        <v>385</v>
      </c>
      <c r="F45" s="9" t="s">
        <v>385</v>
      </c>
      <c r="G45" s="9" t="s">
        <v>385</v>
      </c>
      <c r="H45" s="9" t="s">
        <v>385</v>
      </c>
      <c r="I45" s="9" t="s">
        <v>385</v>
      </c>
      <c r="J45" s="9" t="s">
        <v>385</v>
      </c>
      <c r="K45" s="9" t="s">
        <v>385</v>
      </c>
      <c r="L45" s="9" t="s">
        <v>413</v>
      </c>
      <c r="M45" s="9" t="s">
        <v>440</v>
      </c>
      <c r="N45" s="9" t="s">
        <v>466</v>
      </c>
      <c r="O45" s="9" t="s">
        <v>466</v>
      </c>
      <c r="P45" s="9" t="s">
        <v>466</v>
      </c>
      <c r="Q45" s="9" t="s">
        <v>466</v>
      </c>
      <c r="R45" s="9" t="s">
        <v>466</v>
      </c>
      <c r="S45" s="9" t="s">
        <v>466</v>
      </c>
      <c r="T45" s="9" t="s">
        <v>466</v>
      </c>
      <c r="U45" s="9" t="s">
        <v>466</v>
      </c>
      <c r="V45" s="9" t="s">
        <v>466</v>
      </c>
      <c r="W45" s="9" t="s">
        <v>466</v>
      </c>
      <c r="X45" s="9" t="s">
        <v>466</v>
      </c>
      <c r="Y45" s="9" t="s">
        <v>466</v>
      </c>
      <c r="Z45" s="9" t="s">
        <v>466</v>
      </c>
      <c r="AA45" s="9" t="s">
        <v>466</v>
      </c>
      <c r="AB45" s="9" t="s">
        <v>466</v>
      </c>
      <c r="AC45" s="9" t="s">
        <v>491</v>
      </c>
      <c r="AD45" s="9" t="s">
        <v>515</v>
      </c>
      <c r="AE45" s="9" t="s">
        <v>538</v>
      </c>
      <c r="AF45" s="9" t="s">
        <v>538</v>
      </c>
      <c r="AG45" s="9" t="s">
        <v>538</v>
      </c>
      <c r="AH45" s="9" t="s">
        <v>538</v>
      </c>
      <c r="AI45" s="9" t="s">
        <v>538</v>
      </c>
      <c r="AJ45" s="9" t="s">
        <v>538</v>
      </c>
      <c r="AK45" s="9" t="s">
        <v>538</v>
      </c>
      <c r="AL45" s="9" t="s">
        <v>538</v>
      </c>
      <c r="AM45" s="9" t="s">
        <v>538</v>
      </c>
      <c r="AN45" s="9" t="s">
        <v>538</v>
      </c>
      <c r="AO45" s="9" t="s">
        <v>560</v>
      </c>
      <c r="AP45" s="9" t="s">
        <v>581</v>
      </c>
      <c r="AQ45" s="9" t="n">
        <v>0</v>
      </c>
      <c r="AR45" s="9" t="s">
        <v>602</v>
      </c>
      <c r="AS45" s="9" t="s">
        <v>603</v>
      </c>
      <c r="AT45" s="9" t="s">
        <v>604</v>
      </c>
      <c r="AU45" s="9" t="s">
        <v>605</v>
      </c>
      <c r="AV45" s="9" t="s">
        <v>606</v>
      </c>
      <c r="AW45" s="9" t="s">
        <v>607</v>
      </c>
      <c r="AX45" s="9" t="s">
        <v>608</v>
      </c>
      <c r="AY45" s="9" t="s">
        <v>608</v>
      </c>
      <c r="AZ45" s="9" t="s">
        <v>609</v>
      </c>
      <c r="BA45" s="9" t="s">
        <v>610</v>
      </c>
      <c r="BB45" s="9" t="s">
        <v>611</v>
      </c>
      <c r="BC45" s="9" t="s">
        <v>612</v>
      </c>
      <c r="BD45" s="9" t="s">
        <v>613</v>
      </c>
      <c r="BE45" s="9" t="s">
        <v>613</v>
      </c>
      <c r="BF45" s="9" t="s">
        <v>614</v>
      </c>
      <c r="BG45" s="9" t="s">
        <v>615</v>
      </c>
      <c r="BH45" s="9" t="s">
        <v>615</v>
      </c>
      <c r="BI45" s="9" t="s">
        <v>615</v>
      </c>
      <c r="BJ45" s="9" t="s">
        <v>615</v>
      </c>
      <c r="BK45" s="9" t="s">
        <v>615</v>
      </c>
      <c r="BL45" s="9" t="s">
        <v>615</v>
      </c>
      <c r="BM45" s="9" t="s">
        <v>615</v>
      </c>
      <c r="BN45" s="9" t="s">
        <v>615</v>
      </c>
      <c r="BO45" s="9" t="s">
        <v>615</v>
      </c>
      <c r="BP45" s="9" t="s">
        <v>615</v>
      </c>
      <c r="BQ45" s="9" t="s">
        <v>616</v>
      </c>
      <c r="BR45" s="9" t="s">
        <v>617</v>
      </c>
      <c r="BS45" s="9" t="s">
        <v>618</v>
      </c>
      <c r="BT45" s="9" t="s">
        <v>619</v>
      </c>
      <c r="BU45" s="9" t="s">
        <v>620</v>
      </c>
      <c r="BV45" s="9" t="s">
        <v>621</v>
      </c>
      <c r="BW45" s="9" t="s">
        <v>355</v>
      </c>
      <c r="BX45" s="9" t="s">
        <v>355</v>
      </c>
      <c r="BY45" s="9" t="s">
        <v>355</v>
      </c>
      <c r="BZ45" s="9" t="s">
        <v>355</v>
      </c>
      <c r="CA45" s="9" t="s">
        <v>355</v>
      </c>
      <c r="CB45" s="9" t="s">
        <v>355</v>
      </c>
      <c r="CC45" s="9" t="s">
        <v>355</v>
      </c>
      <c r="CD45" s="9" t="s">
        <v>355</v>
      </c>
      <c r="CE45" s="9" t="s">
        <v>355</v>
      </c>
      <c r="CF45" s="9" t="s">
        <v>355</v>
      </c>
      <c r="CG45" s="9" t="s">
        <v>355</v>
      </c>
      <c r="CH45" s="9" t="s">
        <v>355</v>
      </c>
      <c r="CI45" s="9" t="s">
        <v>355</v>
      </c>
      <c r="CJ45" s="9" t="s">
        <v>355</v>
      </c>
      <c r="CK45" s="9" t="s">
        <v>355</v>
      </c>
      <c r="CL45" s="9" t="s">
        <v>355</v>
      </c>
      <c r="CM45" s="9" t="s">
        <v>355</v>
      </c>
      <c r="CN45" s="9" t="s">
        <v>355</v>
      </c>
      <c r="CO45" s="9" t="s">
        <v>355</v>
      </c>
      <c r="CP45" s="9" t="s">
        <v>355</v>
      </c>
    </row>
    <row r="46" spans="1:94" ht="15.75" customHeight="1">
      <c r="A46" s="56" t="s">
        <v>152</v>
      </c>
      <c r="B46" s="9" t="s">
        <v>356</v>
      </c>
      <c r="C46" s="9" t="s">
        <v>386</v>
      </c>
      <c r="D46" s="9" t="s">
        <v>386</v>
      </c>
      <c r="E46" s="9" t="s">
        <v>386</v>
      </c>
      <c r="F46" s="9" t="s">
        <v>386</v>
      </c>
      <c r="G46" s="9" t="s">
        <v>386</v>
      </c>
      <c r="H46" s="9" t="s">
        <v>386</v>
      </c>
      <c r="I46" s="9" t="s">
        <v>386</v>
      </c>
      <c r="J46" s="9" t="s">
        <v>386</v>
      </c>
      <c r="K46" s="9" t="s">
        <v>386</v>
      </c>
      <c r="L46" s="9" t="s">
        <v>414</v>
      </c>
      <c r="M46" s="9" t="s">
        <v>441</v>
      </c>
      <c r="N46" s="9" t="s">
        <v>467</v>
      </c>
      <c r="O46" s="9" t="s">
        <v>467</v>
      </c>
      <c r="P46" s="9" t="s">
        <v>467</v>
      </c>
      <c r="Q46" s="9" t="s">
        <v>467</v>
      </c>
      <c r="R46" s="9" t="s">
        <v>467</v>
      </c>
      <c r="S46" s="9" t="s">
        <v>467</v>
      </c>
      <c r="T46" s="9" t="s">
        <v>467</v>
      </c>
      <c r="U46" s="9" t="s">
        <v>467</v>
      </c>
      <c r="V46" s="9" t="s">
        <v>467</v>
      </c>
      <c r="W46" s="9" t="s">
        <v>467</v>
      </c>
      <c r="X46" s="9" t="s">
        <v>467</v>
      </c>
      <c r="Y46" s="9" t="s">
        <v>467</v>
      </c>
      <c r="Z46" s="9" t="s">
        <v>467</v>
      </c>
      <c r="AA46" s="9" t="s">
        <v>467</v>
      </c>
      <c r="AB46" s="9" t="s">
        <v>467</v>
      </c>
      <c r="AC46" s="9" t="s">
        <v>492</v>
      </c>
      <c r="AD46" s="9" t="s">
        <v>516</v>
      </c>
      <c r="AE46" s="9" t="s">
        <v>539</v>
      </c>
      <c r="AF46" s="9" t="s">
        <v>539</v>
      </c>
      <c r="AG46" s="9" t="s">
        <v>539</v>
      </c>
      <c r="AH46" s="9" t="s">
        <v>539</v>
      </c>
      <c r="AI46" s="9" t="s">
        <v>539</v>
      </c>
      <c r="AJ46" s="9" t="s">
        <v>539</v>
      </c>
      <c r="AK46" s="9" t="s">
        <v>539</v>
      </c>
      <c r="AL46" s="9" t="s">
        <v>539</v>
      </c>
      <c r="AM46" s="9" t="s">
        <v>539</v>
      </c>
      <c r="AN46" s="9" t="s">
        <v>539</v>
      </c>
      <c r="AO46" s="9" t="s">
        <v>561</v>
      </c>
      <c r="AP46" s="9" t="s">
        <v>582</v>
      </c>
      <c r="AQ46" s="9" t="s">
        <v>602</v>
      </c>
      <c r="AR46" s="9" t="n">
        <v>0</v>
      </c>
      <c r="AS46" s="9" t="s">
        <v>622</v>
      </c>
      <c r="AT46" s="9" t="s">
        <v>623</v>
      </c>
      <c r="AU46" s="9" t="s">
        <v>624</v>
      </c>
      <c r="AV46" s="9" t="s">
        <v>625</v>
      </c>
      <c r="AW46" s="9" t="s">
        <v>626</v>
      </c>
      <c r="AX46" s="9" t="s">
        <v>627</v>
      </c>
      <c r="AY46" s="9" t="s">
        <v>627</v>
      </c>
      <c r="AZ46" s="9" t="s">
        <v>628</v>
      </c>
      <c r="BA46" s="9" t="s">
        <v>629</v>
      </c>
      <c r="BB46" s="9" t="s">
        <v>630</v>
      </c>
      <c r="BC46" s="9" t="s">
        <v>631</v>
      </c>
      <c r="BD46" s="9" t="s">
        <v>632</v>
      </c>
      <c r="BE46" s="9" t="s">
        <v>632</v>
      </c>
      <c r="BF46" s="9" t="s">
        <v>633</v>
      </c>
      <c r="BG46" s="9" t="s">
        <v>634</v>
      </c>
      <c r="BH46" s="9" t="s">
        <v>634</v>
      </c>
      <c r="BI46" s="9" t="s">
        <v>634</v>
      </c>
      <c r="BJ46" s="9" t="s">
        <v>634</v>
      </c>
      <c r="BK46" s="9" t="s">
        <v>634</v>
      </c>
      <c r="BL46" s="9" t="s">
        <v>634</v>
      </c>
      <c r="BM46" s="9" t="s">
        <v>634</v>
      </c>
      <c r="BN46" s="9" t="s">
        <v>634</v>
      </c>
      <c r="BO46" s="9" t="s">
        <v>634</v>
      </c>
      <c r="BP46" s="9" t="s">
        <v>634</v>
      </c>
      <c r="BQ46" s="9" t="s">
        <v>635</v>
      </c>
      <c r="BR46" s="9" t="s">
        <v>636</v>
      </c>
      <c r="BS46" s="9" t="s">
        <v>637</v>
      </c>
      <c r="BT46" s="9" t="s">
        <v>638</v>
      </c>
      <c r="BU46" s="9" t="s">
        <v>639</v>
      </c>
      <c r="BV46" s="9" t="s">
        <v>640</v>
      </c>
      <c r="BW46" s="9" t="s">
        <v>356</v>
      </c>
      <c r="BX46" s="9" t="s">
        <v>356</v>
      </c>
      <c r="BY46" s="9" t="s">
        <v>356</v>
      </c>
      <c r="BZ46" s="9" t="s">
        <v>356</v>
      </c>
      <c r="CA46" s="9" t="s">
        <v>356</v>
      </c>
      <c r="CB46" s="9" t="s">
        <v>356</v>
      </c>
      <c r="CC46" s="9" t="s">
        <v>356</v>
      </c>
      <c r="CD46" s="9" t="s">
        <v>356</v>
      </c>
      <c r="CE46" s="9" t="s">
        <v>356</v>
      </c>
      <c r="CF46" s="9" t="s">
        <v>356</v>
      </c>
      <c r="CG46" s="9" t="s">
        <v>356</v>
      </c>
      <c r="CH46" s="9" t="s">
        <v>356</v>
      </c>
      <c r="CI46" s="9" t="s">
        <v>356</v>
      </c>
      <c r="CJ46" s="9" t="s">
        <v>356</v>
      </c>
      <c r="CK46" s="9" t="s">
        <v>356</v>
      </c>
      <c r="CL46" s="9" t="s">
        <v>356</v>
      </c>
      <c r="CM46" s="9" t="s">
        <v>356</v>
      </c>
      <c r="CN46" s="9" t="s">
        <v>356</v>
      </c>
      <c r="CO46" s="9" t="s">
        <v>356</v>
      </c>
      <c r="CP46" s="9" t="s">
        <v>356</v>
      </c>
    </row>
    <row r="47" spans="1:94" ht="15.75" customHeight="1">
      <c r="A47" s="56" t="s">
        <v>154</v>
      </c>
      <c r="B47" s="9" t="s">
        <v>357</v>
      </c>
      <c r="C47" s="9" t="s">
        <v>387</v>
      </c>
      <c r="D47" s="9" t="s">
        <v>387</v>
      </c>
      <c r="E47" s="9" t="s">
        <v>387</v>
      </c>
      <c r="F47" s="9" t="s">
        <v>387</v>
      </c>
      <c r="G47" s="9" t="s">
        <v>387</v>
      </c>
      <c r="H47" s="9" t="s">
        <v>387</v>
      </c>
      <c r="I47" s="9" t="s">
        <v>387</v>
      </c>
      <c r="J47" s="9" t="s">
        <v>387</v>
      </c>
      <c r="K47" s="9" t="s">
        <v>387</v>
      </c>
      <c r="L47" s="9" t="s">
        <v>415</v>
      </c>
      <c r="M47" s="9" t="s">
        <v>442</v>
      </c>
      <c r="N47" s="9" t="s">
        <v>468</v>
      </c>
      <c r="O47" s="9" t="s">
        <v>468</v>
      </c>
      <c r="P47" s="9" t="s">
        <v>468</v>
      </c>
      <c r="Q47" s="9" t="s">
        <v>468</v>
      </c>
      <c r="R47" s="9" t="s">
        <v>468</v>
      </c>
      <c r="S47" s="9" t="s">
        <v>468</v>
      </c>
      <c r="T47" s="9" t="s">
        <v>468</v>
      </c>
      <c r="U47" s="9" t="s">
        <v>468</v>
      </c>
      <c r="V47" s="9" t="s">
        <v>468</v>
      </c>
      <c r="W47" s="9" t="s">
        <v>468</v>
      </c>
      <c r="X47" s="9" t="s">
        <v>468</v>
      </c>
      <c r="Y47" s="9" t="s">
        <v>468</v>
      </c>
      <c r="Z47" s="9" t="s">
        <v>468</v>
      </c>
      <c r="AA47" s="9" t="s">
        <v>468</v>
      </c>
      <c r="AB47" s="9" t="s">
        <v>468</v>
      </c>
      <c r="AC47" s="9" t="s">
        <v>493</v>
      </c>
      <c r="AD47" s="9" t="s">
        <v>517</v>
      </c>
      <c r="AE47" s="9" t="s">
        <v>540</v>
      </c>
      <c r="AF47" s="9" t="s">
        <v>540</v>
      </c>
      <c r="AG47" s="9" t="s">
        <v>540</v>
      </c>
      <c r="AH47" s="9" t="s">
        <v>540</v>
      </c>
      <c r="AI47" s="9" t="s">
        <v>540</v>
      </c>
      <c r="AJ47" s="9" t="s">
        <v>540</v>
      </c>
      <c r="AK47" s="9" t="s">
        <v>540</v>
      </c>
      <c r="AL47" s="9" t="s">
        <v>540</v>
      </c>
      <c r="AM47" s="9" t="s">
        <v>540</v>
      </c>
      <c r="AN47" s="9" t="s">
        <v>540</v>
      </c>
      <c r="AO47" s="9" t="s">
        <v>562</v>
      </c>
      <c r="AP47" s="9" t="s">
        <v>583</v>
      </c>
      <c r="AQ47" s="9" t="s">
        <v>603</v>
      </c>
      <c r="AR47" s="9" t="s">
        <v>622</v>
      </c>
      <c r="AS47" s="9" t="n">
        <v>0</v>
      </c>
      <c r="AT47" s="9" t="s">
        <v>641</v>
      </c>
      <c r="AU47" s="9" t="s">
        <v>642</v>
      </c>
      <c r="AV47" s="9" t="s">
        <v>643</v>
      </c>
      <c r="AW47" s="9" t="s">
        <v>644</v>
      </c>
      <c r="AX47" s="9" t="s">
        <v>645</v>
      </c>
      <c r="AY47" s="9" t="s">
        <v>645</v>
      </c>
      <c r="AZ47" s="9" t="s">
        <v>646</v>
      </c>
      <c r="BA47" s="9" t="s">
        <v>647</v>
      </c>
      <c r="BB47" s="9" t="s">
        <v>648</v>
      </c>
      <c r="BC47" s="9" t="s">
        <v>649</v>
      </c>
      <c r="BD47" s="9" t="s">
        <v>650</v>
      </c>
      <c r="BE47" s="9" t="s">
        <v>650</v>
      </c>
      <c r="BF47" s="9" t="s">
        <v>651</v>
      </c>
      <c r="BG47" s="9" t="s">
        <v>652</v>
      </c>
      <c r="BH47" s="9" t="s">
        <v>652</v>
      </c>
      <c r="BI47" s="9" t="s">
        <v>652</v>
      </c>
      <c r="BJ47" s="9" t="s">
        <v>652</v>
      </c>
      <c r="BK47" s="9" t="s">
        <v>652</v>
      </c>
      <c r="BL47" s="9" t="s">
        <v>652</v>
      </c>
      <c r="BM47" s="9" t="s">
        <v>652</v>
      </c>
      <c r="BN47" s="9" t="s">
        <v>652</v>
      </c>
      <c r="BO47" s="9" t="s">
        <v>652</v>
      </c>
      <c r="BP47" s="9" t="s">
        <v>652</v>
      </c>
      <c r="BQ47" s="9" t="s">
        <v>653</v>
      </c>
      <c r="BR47" s="9" t="s">
        <v>654</v>
      </c>
      <c r="BS47" s="9" t="s">
        <v>655</v>
      </c>
      <c r="BT47" s="9" t="s">
        <v>656</v>
      </c>
      <c r="BU47" s="9" t="s">
        <v>657</v>
      </c>
      <c r="BV47" s="9" t="s">
        <v>658</v>
      </c>
      <c r="BW47" s="9" t="s">
        <v>357</v>
      </c>
      <c r="BX47" s="9" t="s">
        <v>357</v>
      </c>
      <c r="BY47" s="9" t="s">
        <v>357</v>
      </c>
      <c r="BZ47" s="9" t="s">
        <v>357</v>
      </c>
      <c r="CA47" s="9" t="s">
        <v>357</v>
      </c>
      <c r="CB47" s="9" t="s">
        <v>357</v>
      </c>
      <c r="CC47" s="9" t="s">
        <v>357</v>
      </c>
      <c r="CD47" s="9" t="s">
        <v>357</v>
      </c>
      <c r="CE47" s="9" t="s">
        <v>357</v>
      </c>
      <c r="CF47" s="9" t="s">
        <v>357</v>
      </c>
      <c r="CG47" s="9" t="s">
        <v>357</v>
      </c>
      <c r="CH47" s="9" t="s">
        <v>357</v>
      </c>
      <c r="CI47" s="9" t="s">
        <v>357</v>
      </c>
      <c r="CJ47" s="9" t="s">
        <v>357</v>
      </c>
      <c r="CK47" s="9" t="s">
        <v>357</v>
      </c>
      <c r="CL47" s="9" t="s">
        <v>357</v>
      </c>
      <c r="CM47" s="9" t="s">
        <v>357</v>
      </c>
      <c r="CN47" s="9" t="s">
        <v>357</v>
      </c>
      <c r="CO47" s="9" t="s">
        <v>357</v>
      </c>
      <c r="CP47" s="9" t="s">
        <v>357</v>
      </c>
    </row>
    <row r="48" spans="1:94" ht="15.75" customHeight="1">
      <c r="A48" s="56" t="s">
        <v>161</v>
      </c>
      <c r="B48" s="9" t="s">
        <v>358</v>
      </c>
      <c r="C48" s="9" t="s">
        <v>388</v>
      </c>
      <c r="D48" s="9" t="s">
        <v>388</v>
      </c>
      <c r="E48" s="9" t="s">
        <v>388</v>
      </c>
      <c r="F48" s="9" t="s">
        <v>388</v>
      </c>
      <c r="G48" s="9" t="s">
        <v>388</v>
      </c>
      <c r="H48" s="9" t="s">
        <v>388</v>
      </c>
      <c r="I48" s="9" t="s">
        <v>388</v>
      </c>
      <c r="J48" s="9" t="s">
        <v>388</v>
      </c>
      <c r="K48" s="9" t="s">
        <v>388</v>
      </c>
      <c r="L48" s="9" t="s">
        <v>416</v>
      </c>
      <c r="M48" s="9" t="s">
        <v>443</v>
      </c>
      <c r="N48" s="9" t="s">
        <v>469</v>
      </c>
      <c r="O48" s="9" t="s">
        <v>469</v>
      </c>
      <c r="P48" s="9" t="s">
        <v>469</v>
      </c>
      <c r="Q48" s="9" t="s">
        <v>469</v>
      </c>
      <c r="R48" s="9" t="s">
        <v>469</v>
      </c>
      <c r="S48" s="9" t="s">
        <v>469</v>
      </c>
      <c r="T48" s="9" t="s">
        <v>469</v>
      </c>
      <c r="U48" s="9" t="s">
        <v>469</v>
      </c>
      <c r="V48" s="9" t="s">
        <v>469</v>
      </c>
      <c r="W48" s="9" t="s">
        <v>469</v>
      </c>
      <c r="X48" s="9" t="s">
        <v>469</v>
      </c>
      <c r="Y48" s="9" t="s">
        <v>469</v>
      </c>
      <c r="Z48" s="9" t="s">
        <v>469</v>
      </c>
      <c r="AA48" s="9" t="s">
        <v>469</v>
      </c>
      <c r="AB48" s="9" t="s">
        <v>469</v>
      </c>
      <c r="AC48" s="9" t="s">
        <v>494</v>
      </c>
      <c r="AD48" s="9" t="s">
        <v>518</v>
      </c>
      <c r="AE48" s="9" t="s">
        <v>541</v>
      </c>
      <c r="AF48" s="9" t="s">
        <v>541</v>
      </c>
      <c r="AG48" s="9" t="s">
        <v>541</v>
      </c>
      <c r="AH48" s="9" t="s">
        <v>541</v>
      </c>
      <c r="AI48" s="9" t="s">
        <v>541</v>
      </c>
      <c r="AJ48" s="9" t="s">
        <v>541</v>
      </c>
      <c r="AK48" s="9" t="s">
        <v>541</v>
      </c>
      <c r="AL48" s="9" t="s">
        <v>541</v>
      </c>
      <c r="AM48" s="9" t="s">
        <v>541</v>
      </c>
      <c r="AN48" s="9" t="s">
        <v>541</v>
      </c>
      <c r="AO48" s="9" t="s">
        <v>563</v>
      </c>
      <c r="AP48" s="9" t="s">
        <v>584</v>
      </c>
      <c r="AQ48" s="9" t="s">
        <v>604</v>
      </c>
      <c r="AR48" s="9" t="s">
        <v>623</v>
      </c>
      <c r="AS48" s="9" t="s">
        <v>641</v>
      </c>
      <c r="AT48" s="9" t="n">
        <v>0</v>
      </c>
      <c r="AU48" s="9" t="s">
        <v>659</v>
      </c>
      <c r="AV48" s="9" t="s">
        <v>660</v>
      </c>
      <c r="AW48" s="9" t="s">
        <v>661</v>
      </c>
      <c r="AX48" s="9" t="s">
        <v>662</v>
      </c>
      <c r="AY48" s="9" t="s">
        <v>662</v>
      </c>
      <c r="AZ48" s="9" t="s">
        <v>663</v>
      </c>
      <c r="BA48" s="9" t="s">
        <v>664</v>
      </c>
      <c r="BB48" s="9" t="s">
        <v>665</v>
      </c>
      <c r="BC48" s="9" t="s">
        <v>666</v>
      </c>
      <c r="BD48" s="9" t="s">
        <v>667</v>
      </c>
      <c r="BE48" s="9" t="s">
        <v>667</v>
      </c>
      <c r="BF48" s="9" t="s">
        <v>668</v>
      </c>
      <c r="BG48" s="9" t="s">
        <v>669</v>
      </c>
      <c r="BH48" s="9" t="s">
        <v>669</v>
      </c>
      <c r="BI48" s="9" t="s">
        <v>669</v>
      </c>
      <c r="BJ48" s="9" t="s">
        <v>669</v>
      </c>
      <c r="BK48" s="9" t="s">
        <v>669</v>
      </c>
      <c r="BL48" s="9" t="s">
        <v>669</v>
      </c>
      <c r="BM48" s="9" t="s">
        <v>669</v>
      </c>
      <c r="BN48" s="9" t="s">
        <v>669</v>
      </c>
      <c r="BO48" s="9" t="s">
        <v>669</v>
      </c>
      <c r="BP48" s="9" t="s">
        <v>669</v>
      </c>
      <c r="BQ48" s="9" t="s">
        <v>670</v>
      </c>
      <c r="BR48" s="9" t="s">
        <v>671</v>
      </c>
      <c r="BS48" s="9" t="s">
        <v>672</v>
      </c>
      <c r="BT48" s="9" t="s">
        <v>673</v>
      </c>
      <c r="BU48" s="9" t="s">
        <v>674</v>
      </c>
      <c r="BV48" s="9" t="s">
        <v>675</v>
      </c>
      <c r="BW48" s="9" t="s">
        <v>358</v>
      </c>
      <c r="BX48" s="9" t="s">
        <v>358</v>
      </c>
      <c r="BY48" s="9" t="s">
        <v>358</v>
      </c>
      <c r="BZ48" s="9" t="s">
        <v>358</v>
      </c>
      <c r="CA48" s="9" t="s">
        <v>358</v>
      </c>
      <c r="CB48" s="9" t="s">
        <v>358</v>
      </c>
      <c r="CC48" s="9" t="s">
        <v>358</v>
      </c>
      <c r="CD48" s="9" t="s">
        <v>358</v>
      </c>
      <c r="CE48" s="9" t="s">
        <v>358</v>
      </c>
      <c r="CF48" s="9" t="s">
        <v>358</v>
      </c>
      <c r="CG48" s="9" t="s">
        <v>358</v>
      </c>
      <c r="CH48" s="9" t="s">
        <v>358</v>
      </c>
      <c r="CI48" s="9" t="s">
        <v>358</v>
      </c>
      <c r="CJ48" s="9" t="s">
        <v>358</v>
      </c>
      <c r="CK48" s="9" t="s">
        <v>358</v>
      </c>
      <c r="CL48" s="9" t="s">
        <v>358</v>
      </c>
      <c r="CM48" s="9" t="s">
        <v>358</v>
      </c>
      <c r="CN48" s="9" t="s">
        <v>358</v>
      </c>
      <c r="CO48" s="9" t="s">
        <v>358</v>
      </c>
      <c r="CP48" s="9" t="s">
        <v>358</v>
      </c>
    </row>
    <row r="49" spans="1:94" ht="15.75" customHeight="1">
      <c r="A49" s="56" t="s">
        <v>60</v>
      </c>
      <c r="B49" s="9" t="s">
        <v>359</v>
      </c>
      <c r="C49" s="9" t="s">
        <v>389</v>
      </c>
      <c r="D49" s="9" t="s">
        <v>389</v>
      </c>
      <c r="E49" s="9" t="s">
        <v>389</v>
      </c>
      <c r="F49" s="9" t="s">
        <v>389</v>
      </c>
      <c r="G49" s="9" t="s">
        <v>389</v>
      </c>
      <c r="H49" s="9" t="s">
        <v>389</v>
      </c>
      <c r="I49" s="9" t="s">
        <v>389</v>
      </c>
      <c r="J49" s="9" t="s">
        <v>389</v>
      </c>
      <c r="K49" s="9" t="s">
        <v>389</v>
      </c>
      <c r="L49" s="9" t="s">
        <v>417</v>
      </c>
      <c r="M49" s="9" t="s">
        <v>444</v>
      </c>
      <c r="N49" s="9" t="s">
        <v>470</v>
      </c>
      <c r="O49" s="9" t="s">
        <v>470</v>
      </c>
      <c r="P49" s="9" t="s">
        <v>470</v>
      </c>
      <c r="Q49" s="9" t="s">
        <v>470</v>
      </c>
      <c r="R49" s="9" t="s">
        <v>470</v>
      </c>
      <c r="S49" s="9" t="s">
        <v>470</v>
      </c>
      <c r="T49" s="9" t="s">
        <v>470</v>
      </c>
      <c r="U49" s="9" t="s">
        <v>470</v>
      </c>
      <c r="V49" s="9" t="s">
        <v>470</v>
      </c>
      <c r="W49" s="9" t="s">
        <v>470</v>
      </c>
      <c r="X49" s="9" t="s">
        <v>470</v>
      </c>
      <c r="Y49" s="9" t="s">
        <v>470</v>
      </c>
      <c r="Z49" s="9" t="s">
        <v>470</v>
      </c>
      <c r="AA49" s="9" t="s">
        <v>470</v>
      </c>
      <c r="AB49" s="9" t="s">
        <v>470</v>
      </c>
      <c r="AC49" s="9" t="s">
        <v>495</v>
      </c>
      <c r="AD49" s="9" t="s">
        <v>519</v>
      </c>
      <c r="AE49" s="9" t="s">
        <v>542</v>
      </c>
      <c r="AF49" s="9" t="s">
        <v>542</v>
      </c>
      <c r="AG49" s="9" t="s">
        <v>542</v>
      </c>
      <c r="AH49" s="9" t="s">
        <v>542</v>
      </c>
      <c r="AI49" s="9" t="s">
        <v>542</v>
      </c>
      <c r="AJ49" s="9" t="s">
        <v>542</v>
      </c>
      <c r="AK49" s="9" t="s">
        <v>542</v>
      </c>
      <c r="AL49" s="9" t="s">
        <v>542</v>
      </c>
      <c r="AM49" s="9" t="s">
        <v>542</v>
      </c>
      <c r="AN49" s="9" t="s">
        <v>542</v>
      </c>
      <c r="AO49" s="9" t="s">
        <v>564</v>
      </c>
      <c r="AP49" s="9" t="s">
        <v>585</v>
      </c>
      <c r="AQ49" s="9" t="s">
        <v>605</v>
      </c>
      <c r="AR49" s="9" t="s">
        <v>624</v>
      </c>
      <c r="AS49" s="9" t="s">
        <v>642</v>
      </c>
      <c r="AT49" s="9" t="s">
        <v>659</v>
      </c>
      <c r="AU49" s="9" t="n">
        <v>0</v>
      </c>
      <c r="AV49" s="9" t="s">
        <v>676</v>
      </c>
      <c r="AW49" s="9" t="s">
        <v>677</v>
      </c>
      <c r="AX49" s="9" t="s">
        <v>678</v>
      </c>
      <c r="AY49" s="9" t="s">
        <v>678</v>
      </c>
      <c r="AZ49" s="9" t="s">
        <v>679</v>
      </c>
      <c r="BA49" s="9" t="s">
        <v>680</v>
      </c>
      <c r="BB49" s="9" t="s">
        <v>681</v>
      </c>
      <c r="BC49" s="9" t="s">
        <v>682</v>
      </c>
      <c r="BD49" s="9" t="s">
        <v>683</v>
      </c>
      <c r="BE49" s="9" t="s">
        <v>683</v>
      </c>
      <c r="BF49" s="9" t="s">
        <v>684</v>
      </c>
      <c r="BG49" s="9" t="s">
        <v>685</v>
      </c>
      <c r="BH49" s="9" t="s">
        <v>685</v>
      </c>
      <c r="BI49" s="9" t="s">
        <v>685</v>
      </c>
      <c r="BJ49" s="9" t="s">
        <v>685</v>
      </c>
      <c r="BK49" s="9" t="s">
        <v>685</v>
      </c>
      <c r="BL49" s="9" t="s">
        <v>685</v>
      </c>
      <c r="BM49" s="9" t="s">
        <v>685</v>
      </c>
      <c r="BN49" s="9" t="s">
        <v>685</v>
      </c>
      <c r="BO49" s="9" t="s">
        <v>685</v>
      </c>
      <c r="BP49" s="9" t="s">
        <v>685</v>
      </c>
      <c r="BQ49" s="9" t="s">
        <v>686</v>
      </c>
      <c r="BR49" s="9" t="s">
        <v>687</v>
      </c>
      <c r="BS49" s="9" t="s">
        <v>688</v>
      </c>
      <c r="BT49" s="9" t="s">
        <v>689</v>
      </c>
      <c r="BU49" s="9" t="s">
        <v>690</v>
      </c>
      <c r="BV49" s="9" t="s">
        <v>691</v>
      </c>
      <c r="BW49" s="9" t="s">
        <v>359</v>
      </c>
      <c r="BX49" s="9" t="s">
        <v>359</v>
      </c>
      <c r="BY49" s="9" t="s">
        <v>359</v>
      </c>
      <c r="BZ49" s="9" t="s">
        <v>359</v>
      </c>
      <c r="CA49" s="9" t="s">
        <v>359</v>
      </c>
      <c r="CB49" s="9" t="s">
        <v>359</v>
      </c>
      <c r="CC49" s="9" t="s">
        <v>359</v>
      </c>
      <c r="CD49" s="9" t="s">
        <v>359</v>
      </c>
      <c r="CE49" s="9" t="s">
        <v>359</v>
      </c>
      <c r="CF49" s="9" t="s">
        <v>359</v>
      </c>
      <c r="CG49" s="9" t="s">
        <v>359</v>
      </c>
      <c r="CH49" s="9" t="s">
        <v>359</v>
      </c>
      <c r="CI49" s="9" t="s">
        <v>359</v>
      </c>
      <c r="CJ49" s="9" t="s">
        <v>359</v>
      </c>
      <c r="CK49" s="9" t="s">
        <v>359</v>
      </c>
      <c r="CL49" s="9" t="s">
        <v>359</v>
      </c>
      <c r="CM49" s="9" t="s">
        <v>359</v>
      </c>
      <c r="CN49" s="9" t="s">
        <v>359</v>
      </c>
      <c r="CO49" s="9" t="s">
        <v>359</v>
      </c>
      <c r="CP49" s="9" t="s">
        <v>359</v>
      </c>
    </row>
    <row r="50" spans="1:94" ht="15.75" customHeight="1">
      <c r="A50" s="56" t="s">
        <v>324</v>
      </c>
      <c r="B50" s="9" t="s">
        <v>360</v>
      </c>
      <c r="C50" s="9" t="s">
        <v>390</v>
      </c>
      <c r="D50" s="9" t="s">
        <v>390</v>
      </c>
      <c r="E50" s="9" t="s">
        <v>390</v>
      </c>
      <c r="F50" s="9" t="s">
        <v>390</v>
      </c>
      <c r="G50" s="9" t="s">
        <v>390</v>
      </c>
      <c r="H50" s="9" t="s">
        <v>390</v>
      </c>
      <c r="I50" s="9" t="s">
        <v>390</v>
      </c>
      <c r="J50" s="9" t="s">
        <v>390</v>
      </c>
      <c r="K50" s="9" t="s">
        <v>390</v>
      </c>
      <c r="L50" s="9" t="s">
        <v>418</v>
      </c>
      <c r="M50" s="9" t="s">
        <v>445</v>
      </c>
      <c r="N50" s="9" t="s">
        <v>471</v>
      </c>
      <c r="O50" s="9" t="s">
        <v>471</v>
      </c>
      <c r="P50" s="9" t="s">
        <v>471</v>
      </c>
      <c r="Q50" s="9" t="s">
        <v>471</v>
      </c>
      <c r="R50" s="9" t="s">
        <v>471</v>
      </c>
      <c r="S50" s="9" t="s">
        <v>471</v>
      </c>
      <c r="T50" s="9" t="s">
        <v>471</v>
      </c>
      <c r="U50" s="9" t="s">
        <v>471</v>
      </c>
      <c r="V50" s="9" t="s">
        <v>471</v>
      </c>
      <c r="W50" s="9" t="s">
        <v>471</v>
      </c>
      <c r="X50" s="9" t="s">
        <v>471</v>
      </c>
      <c r="Y50" s="9" t="s">
        <v>471</v>
      </c>
      <c r="Z50" s="9" t="s">
        <v>471</v>
      </c>
      <c r="AA50" s="9" t="s">
        <v>471</v>
      </c>
      <c r="AB50" s="9" t="s">
        <v>471</v>
      </c>
      <c r="AC50" s="9" t="s">
        <v>496</v>
      </c>
      <c r="AD50" s="9" t="s">
        <v>520</v>
      </c>
      <c r="AE50" s="9" t="s">
        <v>543</v>
      </c>
      <c r="AF50" s="9" t="s">
        <v>543</v>
      </c>
      <c r="AG50" s="9" t="s">
        <v>543</v>
      </c>
      <c r="AH50" s="9" t="s">
        <v>543</v>
      </c>
      <c r="AI50" s="9" t="s">
        <v>543</v>
      </c>
      <c r="AJ50" s="9" t="s">
        <v>543</v>
      </c>
      <c r="AK50" s="9" t="s">
        <v>543</v>
      </c>
      <c r="AL50" s="9" t="s">
        <v>543</v>
      </c>
      <c r="AM50" s="9" t="s">
        <v>543</v>
      </c>
      <c r="AN50" s="9" t="s">
        <v>543</v>
      </c>
      <c r="AO50" s="9" t="s">
        <v>565</v>
      </c>
      <c r="AP50" s="9" t="s">
        <v>586</v>
      </c>
      <c r="AQ50" s="9" t="s">
        <v>606</v>
      </c>
      <c r="AR50" s="9" t="s">
        <v>625</v>
      </c>
      <c r="AS50" s="9" t="s">
        <v>643</v>
      </c>
      <c r="AT50" s="9" t="s">
        <v>660</v>
      </c>
      <c r="AU50" s="9" t="s">
        <v>676</v>
      </c>
      <c r="AV50" s="9" t="n">
        <v>0</v>
      </c>
      <c r="AW50" s="9" t="s">
        <v>692</v>
      </c>
      <c r="AX50" s="9" t="s">
        <v>693</v>
      </c>
      <c r="AY50" s="9" t="s">
        <v>693</v>
      </c>
      <c r="AZ50" s="9" t="s">
        <v>694</v>
      </c>
      <c r="BA50" s="9" t="s">
        <v>695</v>
      </c>
      <c r="BB50" s="9" t="s">
        <v>696</v>
      </c>
      <c r="BC50" s="9" t="s">
        <v>697</v>
      </c>
      <c r="BD50" s="9" t="s">
        <v>698</v>
      </c>
      <c r="BE50" s="9" t="s">
        <v>698</v>
      </c>
      <c r="BF50" s="9" t="s">
        <v>699</v>
      </c>
      <c r="BG50" s="9" t="s">
        <v>700</v>
      </c>
      <c r="BH50" s="9" t="s">
        <v>700</v>
      </c>
      <c r="BI50" s="9" t="s">
        <v>700</v>
      </c>
      <c r="BJ50" s="9" t="s">
        <v>700</v>
      </c>
      <c r="BK50" s="9" t="s">
        <v>700</v>
      </c>
      <c r="BL50" s="9" t="s">
        <v>700</v>
      </c>
      <c r="BM50" s="9" t="s">
        <v>700</v>
      </c>
      <c r="BN50" s="9" t="s">
        <v>700</v>
      </c>
      <c r="BO50" s="9" t="s">
        <v>700</v>
      </c>
      <c r="BP50" s="9" t="s">
        <v>700</v>
      </c>
      <c r="BQ50" s="9" t="s">
        <v>701</v>
      </c>
      <c r="BR50" s="9" t="s">
        <v>702</v>
      </c>
      <c r="BS50" s="9" t="s">
        <v>703</v>
      </c>
      <c r="BT50" s="9" t="s">
        <v>704</v>
      </c>
      <c r="BU50" s="9" t="s">
        <v>705</v>
      </c>
      <c r="BV50" s="9" t="s">
        <v>706</v>
      </c>
      <c r="BW50" s="9" t="s">
        <v>360</v>
      </c>
      <c r="BX50" s="9" t="s">
        <v>360</v>
      </c>
      <c r="BY50" s="9" t="s">
        <v>360</v>
      </c>
      <c r="BZ50" s="9" t="s">
        <v>360</v>
      </c>
      <c r="CA50" s="9" t="s">
        <v>360</v>
      </c>
      <c r="CB50" s="9" t="s">
        <v>360</v>
      </c>
      <c r="CC50" s="9" t="s">
        <v>360</v>
      </c>
      <c r="CD50" s="9" t="s">
        <v>360</v>
      </c>
      <c r="CE50" s="9" t="s">
        <v>360</v>
      </c>
      <c r="CF50" s="9" t="s">
        <v>360</v>
      </c>
      <c r="CG50" s="9" t="s">
        <v>360</v>
      </c>
      <c r="CH50" s="9" t="s">
        <v>360</v>
      </c>
      <c r="CI50" s="9" t="s">
        <v>360</v>
      </c>
      <c r="CJ50" s="9" t="s">
        <v>360</v>
      </c>
      <c r="CK50" s="9" t="s">
        <v>360</v>
      </c>
      <c r="CL50" s="9" t="s">
        <v>360</v>
      </c>
      <c r="CM50" s="9" t="s">
        <v>360</v>
      </c>
      <c r="CN50" s="9" t="s">
        <v>360</v>
      </c>
      <c r="CO50" s="9" t="s">
        <v>360</v>
      </c>
      <c r="CP50" s="9" t="s">
        <v>360</v>
      </c>
    </row>
    <row r="51" spans="1:94" ht="15.75" customHeight="1">
      <c r="A51" s="56" t="s">
        <v>66</v>
      </c>
      <c r="B51" s="9" t="s">
        <v>361</v>
      </c>
      <c r="C51" s="9" t="s">
        <v>391</v>
      </c>
      <c r="D51" s="9" t="s">
        <v>391</v>
      </c>
      <c r="E51" s="9" t="s">
        <v>391</v>
      </c>
      <c r="F51" s="9" t="s">
        <v>391</v>
      </c>
      <c r="G51" s="9" t="s">
        <v>391</v>
      </c>
      <c r="H51" s="9" t="s">
        <v>391</v>
      </c>
      <c r="I51" s="9" t="s">
        <v>391</v>
      </c>
      <c r="J51" s="9" t="s">
        <v>391</v>
      </c>
      <c r="K51" s="9" t="s">
        <v>391</v>
      </c>
      <c r="L51" s="9" t="s">
        <v>419</v>
      </c>
      <c r="M51" s="9" t="s">
        <v>446</v>
      </c>
      <c r="N51" s="9" t="s">
        <v>472</v>
      </c>
      <c r="O51" s="9" t="s">
        <v>472</v>
      </c>
      <c r="P51" s="9" t="s">
        <v>472</v>
      </c>
      <c r="Q51" s="9" t="s">
        <v>472</v>
      </c>
      <c r="R51" s="9" t="s">
        <v>472</v>
      </c>
      <c r="S51" s="9" t="s">
        <v>472</v>
      </c>
      <c r="T51" s="9" t="s">
        <v>472</v>
      </c>
      <c r="U51" s="9" t="s">
        <v>472</v>
      </c>
      <c r="V51" s="9" t="s">
        <v>472</v>
      </c>
      <c r="W51" s="9" t="s">
        <v>472</v>
      </c>
      <c r="X51" s="9" t="s">
        <v>472</v>
      </c>
      <c r="Y51" s="9" t="s">
        <v>472</v>
      </c>
      <c r="Z51" s="9" t="s">
        <v>472</v>
      </c>
      <c r="AA51" s="9" t="s">
        <v>472</v>
      </c>
      <c r="AB51" s="9" t="s">
        <v>472</v>
      </c>
      <c r="AC51" s="9" t="s">
        <v>497</v>
      </c>
      <c r="AD51" s="9" t="s">
        <v>521</v>
      </c>
      <c r="AE51" s="9" t="s">
        <v>544</v>
      </c>
      <c r="AF51" s="9" t="s">
        <v>544</v>
      </c>
      <c r="AG51" s="9" t="s">
        <v>544</v>
      </c>
      <c r="AH51" s="9" t="s">
        <v>544</v>
      </c>
      <c r="AI51" s="9" t="s">
        <v>544</v>
      </c>
      <c r="AJ51" s="9" t="s">
        <v>544</v>
      </c>
      <c r="AK51" s="9" t="s">
        <v>544</v>
      </c>
      <c r="AL51" s="9" t="s">
        <v>544</v>
      </c>
      <c r="AM51" s="9" t="s">
        <v>544</v>
      </c>
      <c r="AN51" s="9" t="s">
        <v>544</v>
      </c>
      <c r="AO51" s="9" t="s">
        <v>566</v>
      </c>
      <c r="AP51" s="9" t="s">
        <v>587</v>
      </c>
      <c r="AQ51" s="9" t="s">
        <v>607</v>
      </c>
      <c r="AR51" s="9" t="s">
        <v>626</v>
      </c>
      <c r="AS51" s="9" t="s">
        <v>644</v>
      </c>
      <c r="AT51" s="9" t="s">
        <v>661</v>
      </c>
      <c r="AU51" s="9" t="s">
        <v>677</v>
      </c>
      <c r="AV51" s="9" t="s">
        <v>692</v>
      </c>
      <c r="AW51" s="9" t="n">
        <v>0</v>
      </c>
      <c r="AX51" s="9" t="s">
        <v>707</v>
      </c>
      <c r="AY51" s="9" t="s">
        <v>707</v>
      </c>
      <c r="AZ51" s="9" t="s">
        <v>708</v>
      </c>
      <c r="BA51" s="9" t="s">
        <v>709</v>
      </c>
      <c r="BB51" s="9" t="s">
        <v>710</v>
      </c>
      <c r="BC51" s="9" t="s">
        <v>711</v>
      </c>
      <c r="BD51" s="9" t="s">
        <v>712</v>
      </c>
      <c r="BE51" s="9" t="s">
        <v>712</v>
      </c>
      <c r="BF51" s="9" t="s">
        <v>713</v>
      </c>
      <c r="BG51" s="9" t="s">
        <v>714</v>
      </c>
      <c r="BH51" s="9" t="s">
        <v>714</v>
      </c>
      <c r="BI51" s="9" t="s">
        <v>714</v>
      </c>
      <c r="BJ51" s="9" t="s">
        <v>714</v>
      </c>
      <c r="BK51" s="9" t="s">
        <v>714</v>
      </c>
      <c r="BL51" s="9" t="s">
        <v>714</v>
      </c>
      <c r="BM51" s="9" t="s">
        <v>714</v>
      </c>
      <c r="BN51" s="9" t="s">
        <v>714</v>
      </c>
      <c r="BO51" s="9" t="s">
        <v>714</v>
      </c>
      <c r="BP51" s="9" t="s">
        <v>714</v>
      </c>
      <c r="BQ51" s="9" t="s">
        <v>715</v>
      </c>
      <c r="BR51" s="9" t="s">
        <v>716</v>
      </c>
      <c r="BS51" s="9" t="s">
        <v>717</v>
      </c>
      <c r="BT51" s="9" t="s">
        <v>718</v>
      </c>
      <c r="BU51" s="9" t="s">
        <v>719</v>
      </c>
      <c r="BV51" s="9" t="s">
        <v>720</v>
      </c>
      <c r="BW51" s="9" t="s">
        <v>361</v>
      </c>
      <c r="BX51" s="9" t="s">
        <v>361</v>
      </c>
      <c r="BY51" s="9" t="s">
        <v>361</v>
      </c>
      <c r="BZ51" s="9" t="s">
        <v>361</v>
      </c>
      <c r="CA51" s="9" t="s">
        <v>361</v>
      </c>
      <c r="CB51" s="9" t="s">
        <v>361</v>
      </c>
      <c r="CC51" s="9" t="s">
        <v>361</v>
      </c>
      <c r="CD51" s="9" t="s">
        <v>361</v>
      </c>
      <c r="CE51" s="9" t="s">
        <v>361</v>
      </c>
      <c r="CF51" s="9" t="s">
        <v>361</v>
      </c>
      <c r="CG51" s="9" t="s">
        <v>361</v>
      </c>
      <c r="CH51" s="9" t="s">
        <v>361</v>
      </c>
      <c r="CI51" s="9" t="s">
        <v>361</v>
      </c>
      <c r="CJ51" s="9" t="s">
        <v>361</v>
      </c>
      <c r="CK51" s="9" t="s">
        <v>361</v>
      </c>
      <c r="CL51" s="9" t="s">
        <v>361</v>
      </c>
      <c r="CM51" s="9" t="s">
        <v>361</v>
      </c>
      <c r="CN51" s="9" t="s">
        <v>361</v>
      </c>
      <c r="CO51" s="9" t="s">
        <v>361</v>
      </c>
      <c r="CP51" s="9" t="s">
        <v>361</v>
      </c>
    </row>
    <row r="52" spans="1:94" ht="15.75" customHeight="1">
      <c r="A52" s="56" t="s">
        <v>76</v>
      </c>
      <c r="B52" s="9" t="s">
        <v>362</v>
      </c>
      <c r="C52" s="9" t="s">
        <v>392</v>
      </c>
      <c r="D52" s="9" t="s">
        <v>392</v>
      </c>
      <c r="E52" s="9" t="s">
        <v>392</v>
      </c>
      <c r="F52" s="9" t="s">
        <v>392</v>
      </c>
      <c r="G52" s="9" t="s">
        <v>392</v>
      </c>
      <c r="H52" s="9" t="s">
        <v>392</v>
      </c>
      <c r="I52" s="9" t="s">
        <v>392</v>
      </c>
      <c r="J52" s="9" t="s">
        <v>392</v>
      </c>
      <c r="K52" s="9" t="s">
        <v>392</v>
      </c>
      <c r="L52" s="9" t="s">
        <v>420</v>
      </c>
      <c r="M52" s="9" t="s">
        <v>447</v>
      </c>
      <c r="N52" s="9" t="s">
        <v>473</v>
      </c>
      <c r="O52" s="9" t="s">
        <v>473</v>
      </c>
      <c r="P52" s="9" t="s">
        <v>473</v>
      </c>
      <c r="Q52" s="9" t="s">
        <v>473</v>
      </c>
      <c r="R52" s="9" t="s">
        <v>473</v>
      </c>
      <c r="S52" s="9" t="s">
        <v>473</v>
      </c>
      <c r="T52" s="9" t="s">
        <v>473</v>
      </c>
      <c r="U52" s="9" t="s">
        <v>473</v>
      </c>
      <c r="V52" s="9" t="s">
        <v>473</v>
      </c>
      <c r="W52" s="9" t="s">
        <v>473</v>
      </c>
      <c r="X52" s="9" t="s">
        <v>473</v>
      </c>
      <c r="Y52" s="9" t="s">
        <v>473</v>
      </c>
      <c r="Z52" s="9" t="s">
        <v>473</v>
      </c>
      <c r="AA52" s="9" t="s">
        <v>473</v>
      </c>
      <c r="AB52" s="9" t="s">
        <v>473</v>
      </c>
      <c r="AC52" s="9" t="s">
        <v>498</v>
      </c>
      <c r="AD52" s="9" t="s">
        <v>522</v>
      </c>
      <c r="AE52" s="9" t="s">
        <v>545</v>
      </c>
      <c r="AF52" s="9" t="s">
        <v>545</v>
      </c>
      <c r="AG52" s="9" t="s">
        <v>545</v>
      </c>
      <c r="AH52" s="9" t="s">
        <v>545</v>
      </c>
      <c r="AI52" s="9" t="s">
        <v>545</v>
      </c>
      <c r="AJ52" s="9" t="s">
        <v>545</v>
      </c>
      <c r="AK52" s="9" t="s">
        <v>545</v>
      </c>
      <c r="AL52" s="9" t="s">
        <v>545</v>
      </c>
      <c r="AM52" s="9" t="s">
        <v>545</v>
      </c>
      <c r="AN52" s="9" t="s">
        <v>545</v>
      </c>
      <c r="AO52" s="9" t="s">
        <v>567</v>
      </c>
      <c r="AP52" s="9" t="s">
        <v>588</v>
      </c>
      <c r="AQ52" s="9" t="s">
        <v>608</v>
      </c>
      <c r="AR52" s="9" t="s">
        <v>627</v>
      </c>
      <c r="AS52" s="9" t="s">
        <v>645</v>
      </c>
      <c r="AT52" s="9" t="s">
        <v>662</v>
      </c>
      <c r="AU52" s="9" t="s">
        <v>678</v>
      </c>
      <c r="AV52" s="9" t="s">
        <v>693</v>
      </c>
      <c r="AW52" s="9" t="s">
        <v>707</v>
      </c>
      <c r="AX52" s="9" t="n">
        <v>0</v>
      </c>
      <c r="AY52" s="9" t="s">
        <v>376</v>
      </c>
      <c r="AZ52" s="9" t="s">
        <v>721</v>
      </c>
      <c r="BA52" s="9" t="s">
        <v>722</v>
      </c>
      <c r="BB52" s="9" t="s">
        <v>723</v>
      </c>
      <c r="BC52" s="9" t="s">
        <v>724</v>
      </c>
      <c r="BD52" s="9" t="s">
        <v>725</v>
      </c>
      <c r="BE52" s="9" t="s">
        <v>725</v>
      </c>
      <c r="BF52" s="9" t="s">
        <v>726</v>
      </c>
      <c r="BG52" s="9" t="s">
        <v>727</v>
      </c>
      <c r="BH52" s="9" t="s">
        <v>727</v>
      </c>
      <c r="BI52" s="9" t="s">
        <v>727</v>
      </c>
      <c r="BJ52" s="9" t="s">
        <v>727</v>
      </c>
      <c r="BK52" s="9" t="s">
        <v>727</v>
      </c>
      <c r="BL52" s="9" t="s">
        <v>727</v>
      </c>
      <c r="BM52" s="9" t="s">
        <v>727</v>
      </c>
      <c r="BN52" s="9" t="s">
        <v>727</v>
      </c>
      <c r="BO52" s="9" t="s">
        <v>727</v>
      </c>
      <c r="BP52" s="9" t="s">
        <v>727</v>
      </c>
      <c r="BQ52" s="9" t="s">
        <v>728</v>
      </c>
      <c r="BR52" s="9" t="s">
        <v>729</v>
      </c>
      <c r="BS52" s="9" t="s">
        <v>730</v>
      </c>
      <c r="BT52" s="9" t="s">
        <v>731</v>
      </c>
      <c r="BU52" s="9" t="s">
        <v>732</v>
      </c>
      <c r="BV52" s="9" t="s">
        <v>733</v>
      </c>
      <c r="BW52" s="9" t="s">
        <v>362</v>
      </c>
      <c r="BX52" s="9" t="s">
        <v>362</v>
      </c>
      <c r="BY52" s="9" t="s">
        <v>362</v>
      </c>
      <c r="BZ52" s="9" t="s">
        <v>362</v>
      </c>
      <c r="CA52" s="9" t="s">
        <v>362</v>
      </c>
      <c r="CB52" s="9" t="s">
        <v>362</v>
      </c>
      <c r="CC52" s="9" t="s">
        <v>362</v>
      </c>
      <c r="CD52" s="9" t="s">
        <v>362</v>
      </c>
      <c r="CE52" s="9" t="s">
        <v>362</v>
      </c>
      <c r="CF52" s="9" t="s">
        <v>362</v>
      </c>
      <c r="CG52" s="9" t="s">
        <v>362</v>
      </c>
      <c r="CH52" s="9" t="s">
        <v>362</v>
      </c>
      <c r="CI52" s="9" t="s">
        <v>362</v>
      </c>
      <c r="CJ52" s="9" t="s">
        <v>362</v>
      </c>
      <c r="CK52" s="9" t="s">
        <v>362</v>
      </c>
      <c r="CL52" s="9" t="s">
        <v>362</v>
      </c>
      <c r="CM52" s="9" t="s">
        <v>362</v>
      </c>
      <c r="CN52" s="9" t="s">
        <v>362</v>
      </c>
      <c r="CO52" s="9" t="s">
        <v>362</v>
      </c>
      <c r="CP52" s="9" t="s">
        <v>362</v>
      </c>
    </row>
    <row r="53" spans="1:94" ht="15.75" customHeight="1">
      <c r="A53" s="56" t="s">
        <v>100</v>
      </c>
      <c r="B53" s="9" t="s">
        <v>362</v>
      </c>
      <c r="C53" s="9" t="s">
        <v>392</v>
      </c>
      <c r="D53" s="9" t="s">
        <v>392</v>
      </c>
      <c r="E53" s="9" t="s">
        <v>392</v>
      </c>
      <c r="F53" s="9" t="s">
        <v>392</v>
      </c>
      <c r="G53" s="9" t="s">
        <v>392</v>
      </c>
      <c r="H53" s="9" t="s">
        <v>392</v>
      </c>
      <c r="I53" s="9" t="s">
        <v>392</v>
      </c>
      <c r="J53" s="9" t="s">
        <v>392</v>
      </c>
      <c r="K53" s="9" t="s">
        <v>392</v>
      </c>
      <c r="L53" s="9" t="s">
        <v>420</v>
      </c>
      <c r="M53" s="9" t="s">
        <v>447</v>
      </c>
      <c r="N53" s="9" t="s">
        <v>473</v>
      </c>
      <c r="O53" s="9" t="s">
        <v>473</v>
      </c>
      <c r="P53" s="9" t="s">
        <v>473</v>
      </c>
      <c r="Q53" s="9" t="s">
        <v>473</v>
      </c>
      <c r="R53" s="9" t="s">
        <v>473</v>
      </c>
      <c r="S53" s="9" t="s">
        <v>473</v>
      </c>
      <c r="T53" s="9" t="s">
        <v>473</v>
      </c>
      <c r="U53" s="9" t="s">
        <v>473</v>
      </c>
      <c r="V53" s="9" t="s">
        <v>473</v>
      </c>
      <c r="W53" s="9" t="s">
        <v>473</v>
      </c>
      <c r="X53" s="9" t="s">
        <v>473</v>
      </c>
      <c r="Y53" s="9" t="s">
        <v>473</v>
      </c>
      <c r="Z53" s="9" t="s">
        <v>473</v>
      </c>
      <c r="AA53" s="9" t="s">
        <v>473</v>
      </c>
      <c r="AB53" s="9" t="s">
        <v>473</v>
      </c>
      <c r="AC53" s="9" t="s">
        <v>498</v>
      </c>
      <c r="AD53" s="9" t="s">
        <v>522</v>
      </c>
      <c r="AE53" s="9" t="s">
        <v>545</v>
      </c>
      <c r="AF53" s="9" t="s">
        <v>545</v>
      </c>
      <c r="AG53" s="9" t="s">
        <v>545</v>
      </c>
      <c r="AH53" s="9" t="s">
        <v>545</v>
      </c>
      <c r="AI53" s="9" t="s">
        <v>545</v>
      </c>
      <c r="AJ53" s="9" t="s">
        <v>545</v>
      </c>
      <c r="AK53" s="9" t="s">
        <v>545</v>
      </c>
      <c r="AL53" s="9" t="s">
        <v>545</v>
      </c>
      <c r="AM53" s="9" t="s">
        <v>545</v>
      </c>
      <c r="AN53" s="9" t="s">
        <v>545</v>
      </c>
      <c r="AO53" s="9" t="s">
        <v>567</v>
      </c>
      <c r="AP53" s="9" t="s">
        <v>588</v>
      </c>
      <c r="AQ53" s="9" t="s">
        <v>608</v>
      </c>
      <c r="AR53" s="9" t="s">
        <v>627</v>
      </c>
      <c r="AS53" s="9" t="s">
        <v>645</v>
      </c>
      <c r="AT53" s="9" t="s">
        <v>662</v>
      </c>
      <c r="AU53" s="9" t="s">
        <v>678</v>
      </c>
      <c r="AV53" s="9" t="s">
        <v>693</v>
      </c>
      <c r="AW53" s="9" t="s">
        <v>707</v>
      </c>
      <c r="AX53" s="9" t="s">
        <v>376</v>
      </c>
      <c r="AY53" s="9" t="n">
        <v>0</v>
      </c>
      <c r="AZ53" s="9" t="s">
        <v>721</v>
      </c>
      <c r="BA53" s="9" t="s">
        <v>722</v>
      </c>
      <c r="BB53" s="9" t="s">
        <v>723</v>
      </c>
      <c r="BC53" s="9" t="s">
        <v>724</v>
      </c>
      <c r="BD53" s="9" t="s">
        <v>725</v>
      </c>
      <c r="BE53" s="9" t="s">
        <v>725</v>
      </c>
      <c r="BF53" s="9" t="s">
        <v>726</v>
      </c>
      <c r="BG53" s="9" t="s">
        <v>727</v>
      </c>
      <c r="BH53" s="9" t="s">
        <v>727</v>
      </c>
      <c r="BI53" s="9" t="s">
        <v>727</v>
      </c>
      <c r="BJ53" s="9" t="s">
        <v>727</v>
      </c>
      <c r="BK53" s="9" t="s">
        <v>727</v>
      </c>
      <c r="BL53" s="9" t="s">
        <v>727</v>
      </c>
      <c r="BM53" s="9" t="s">
        <v>727</v>
      </c>
      <c r="BN53" s="9" t="s">
        <v>727</v>
      </c>
      <c r="BO53" s="9" t="s">
        <v>727</v>
      </c>
      <c r="BP53" s="9" t="s">
        <v>727</v>
      </c>
      <c r="BQ53" s="9" t="s">
        <v>728</v>
      </c>
      <c r="BR53" s="9" t="s">
        <v>729</v>
      </c>
      <c r="BS53" s="9" t="s">
        <v>730</v>
      </c>
      <c r="BT53" s="9" t="s">
        <v>731</v>
      </c>
      <c r="BU53" s="9" t="s">
        <v>732</v>
      </c>
      <c r="BV53" s="9" t="s">
        <v>733</v>
      </c>
      <c r="BW53" s="9" t="s">
        <v>362</v>
      </c>
      <c r="BX53" s="9" t="s">
        <v>362</v>
      </c>
      <c r="BY53" s="9" t="s">
        <v>362</v>
      </c>
      <c r="BZ53" s="9" t="s">
        <v>362</v>
      </c>
      <c r="CA53" s="9" t="s">
        <v>362</v>
      </c>
      <c r="CB53" s="9" t="s">
        <v>362</v>
      </c>
      <c r="CC53" s="9" t="s">
        <v>362</v>
      </c>
      <c r="CD53" s="9" t="s">
        <v>362</v>
      </c>
      <c r="CE53" s="9" t="s">
        <v>362</v>
      </c>
      <c r="CF53" s="9" t="s">
        <v>362</v>
      </c>
      <c r="CG53" s="9" t="s">
        <v>362</v>
      </c>
      <c r="CH53" s="9" t="s">
        <v>362</v>
      </c>
      <c r="CI53" s="9" t="s">
        <v>362</v>
      </c>
      <c r="CJ53" s="9" t="s">
        <v>362</v>
      </c>
      <c r="CK53" s="9" t="s">
        <v>362</v>
      </c>
      <c r="CL53" s="9" t="s">
        <v>362</v>
      </c>
      <c r="CM53" s="9" t="s">
        <v>362</v>
      </c>
      <c r="CN53" s="9" t="s">
        <v>362</v>
      </c>
      <c r="CO53" s="9" t="s">
        <v>362</v>
      </c>
      <c r="CP53" s="9" t="s">
        <v>362</v>
      </c>
    </row>
    <row r="54" spans="1:94" ht="15.75" customHeight="1">
      <c r="A54" s="56" t="s">
        <v>123</v>
      </c>
      <c r="B54" s="9" t="s">
        <v>363</v>
      </c>
      <c r="C54" s="9" t="s">
        <v>393</v>
      </c>
      <c r="D54" s="9" t="s">
        <v>393</v>
      </c>
      <c r="E54" s="9" t="s">
        <v>393</v>
      </c>
      <c r="F54" s="9" t="s">
        <v>393</v>
      </c>
      <c r="G54" s="9" t="s">
        <v>393</v>
      </c>
      <c r="H54" s="9" t="s">
        <v>393</v>
      </c>
      <c r="I54" s="9" t="s">
        <v>393</v>
      </c>
      <c r="J54" s="9" t="s">
        <v>393</v>
      </c>
      <c r="K54" s="9" t="s">
        <v>393</v>
      </c>
      <c r="L54" s="9" t="s">
        <v>421</v>
      </c>
      <c r="M54" s="9" t="s">
        <v>448</v>
      </c>
      <c r="N54" s="9" t="s">
        <v>474</v>
      </c>
      <c r="O54" s="9" t="s">
        <v>474</v>
      </c>
      <c r="P54" s="9" t="s">
        <v>474</v>
      </c>
      <c r="Q54" s="9" t="s">
        <v>474</v>
      </c>
      <c r="R54" s="9" t="s">
        <v>474</v>
      </c>
      <c r="S54" s="9" t="s">
        <v>474</v>
      </c>
      <c r="T54" s="9" t="s">
        <v>474</v>
      </c>
      <c r="U54" s="9" t="s">
        <v>474</v>
      </c>
      <c r="V54" s="9" t="s">
        <v>474</v>
      </c>
      <c r="W54" s="9" t="s">
        <v>474</v>
      </c>
      <c r="X54" s="9" t="s">
        <v>474</v>
      </c>
      <c r="Y54" s="9" t="s">
        <v>474</v>
      </c>
      <c r="Z54" s="9" t="s">
        <v>474</v>
      </c>
      <c r="AA54" s="9" t="s">
        <v>474</v>
      </c>
      <c r="AB54" s="9" t="s">
        <v>474</v>
      </c>
      <c r="AC54" s="9" t="s">
        <v>499</v>
      </c>
      <c r="AD54" s="9" t="s">
        <v>523</v>
      </c>
      <c r="AE54" s="9" t="s">
        <v>546</v>
      </c>
      <c r="AF54" s="9" t="s">
        <v>546</v>
      </c>
      <c r="AG54" s="9" t="s">
        <v>546</v>
      </c>
      <c r="AH54" s="9" t="s">
        <v>546</v>
      </c>
      <c r="AI54" s="9" t="s">
        <v>546</v>
      </c>
      <c r="AJ54" s="9" t="s">
        <v>546</v>
      </c>
      <c r="AK54" s="9" t="s">
        <v>546</v>
      </c>
      <c r="AL54" s="9" t="s">
        <v>546</v>
      </c>
      <c r="AM54" s="9" t="s">
        <v>546</v>
      </c>
      <c r="AN54" s="9" t="s">
        <v>546</v>
      </c>
      <c r="AO54" s="9" t="s">
        <v>568</v>
      </c>
      <c r="AP54" s="9" t="s">
        <v>589</v>
      </c>
      <c r="AQ54" s="9" t="s">
        <v>609</v>
      </c>
      <c r="AR54" s="9" t="s">
        <v>628</v>
      </c>
      <c r="AS54" s="9" t="s">
        <v>646</v>
      </c>
      <c r="AT54" s="9" t="s">
        <v>663</v>
      </c>
      <c r="AU54" s="9" t="s">
        <v>679</v>
      </c>
      <c r="AV54" s="9" t="s">
        <v>694</v>
      </c>
      <c r="AW54" s="9" t="s">
        <v>708</v>
      </c>
      <c r="AX54" s="9" t="s">
        <v>721</v>
      </c>
      <c r="AY54" s="9" t="s">
        <v>721</v>
      </c>
      <c r="AZ54" s="9" t="n">
        <v>0</v>
      </c>
      <c r="BA54" s="9" t="s">
        <v>734</v>
      </c>
      <c r="BB54" s="9" t="s">
        <v>735</v>
      </c>
      <c r="BC54" s="9" t="s">
        <v>736</v>
      </c>
      <c r="BD54" s="9" t="s">
        <v>737</v>
      </c>
      <c r="BE54" s="9" t="s">
        <v>737</v>
      </c>
      <c r="BF54" s="9" t="s">
        <v>738</v>
      </c>
      <c r="BG54" s="9" t="s">
        <v>739</v>
      </c>
      <c r="BH54" s="9" t="s">
        <v>739</v>
      </c>
      <c r="BI54" s="9" t="s">
        <v>739</v>
      </c>
      <c r="BJ54" s="9" t="s">
        <v>739</v>
      </c>
      <c r="BK54" s="9" t="s">
        <v>739</v>
      </c>
      <c r="BL54" s="9" t="s">
        <v>739</v>
      </c>
      <c r="BM54" s="9" t="s">
        <v>739</v>
      </c>
      <c r="BN54" s="9" t="s">
        <v>739</v>
      </c>
      <c r="BO54" s="9" t="s">
        <v>739</v>
      </c>
      <c r="BP54" s="9" t="s">
        <v>739</v>
      </c>
      <c r="BQ54" s="9" t="s">
        <v>740</v>
      </c>
      <c r="BR54" s="9" t="s">
        <v>741</v>
      </c>
      <c r="BS54" s="9" t="s">
        <v>742</v>
      </c>
      <c r="BT54" s="9" t="s">
        <v>743</v>
      </c>
      <c r="BU54" s="9" t="s">
        <v>744</v>
      </c>
      <c r="BV54" s="9" t="s">
        <v>745</v>
      </c>
      <c r="BW54" s="9" t="s">
        <v>363</v>
      </c>
      <c r="BX54" s="9" t="s">
        <v>363</v>
      </c>
      <c r="BY54" s="9" t="s">
        <v>363</v>
      </c>
      <c r="BZ54" s="9" t="s">
        <v>363</v>
      </c>
      <c r="CA54" s="9" t="s">
        <v>363</v>
      </c>
      <c r="CB54" s="9" t="s">
        <v>363</v>
      </c>
      <c r="CC54" s="9" t="s">
        <v>363</v>
      </c>
      <c r="CD54" s="9" t="s">
        <v>363</v>
      </c>
      <c r="CE54" s="9" t="s">
        <v>363</v>
      </c>
      <c r="CF54" s="9" t="s">
        <v>363</v>
      </c>
      <c r="CG54" s="9" t="s">
        <v>363</v>
      </c>
      <c r="CH54" s="9" t="s">
        <v>363</v>
      </c>
      <c r="CI54" s="9" t="s">
        <v>363</v>
      </c>
      <c r="CJ54" s="9" t="s">
        <v>363</v>
      </c>
      <c r="CK54" s="9" t="s">
        <v>363</v>
      </c>
      <c r="CL54" s="9" t="s">
        <v>363</v>
      </c>
      <c r="CM54" s="9" t="s">
        <v>363</v>
      </c>
      <c r="CN54" s="9" t="s">
        <v>363</v>
      </c>
      <c r="CO54" s="9" t="s">
        <v>363</v>
      </c>
      <c r="CP54" s="9" t="s">
        <v>363</v>
      </c>
    </row>
    <row r="55" spans="1:94" ht="15.75" customHeight="1">
      <c r="A55" s="56" t="s">
        <v>84</v>
      </c>
      <c r="B55" s="9" t="s">
        <v>364</v>
      </c>
      <c r="C55" s="9" t="s">
        <v>394</v>
      </c>
      <c r="D55" s="9" t="s">
        <v>394</v>
      </c>
      <c r="E55" s="9" t="s">
        <v>394</v>
      </c>
      <c r="F55" s="9" t="s">
        <v>394</v>
      </c>
      <c r="G55" s="9" t="s">
        <v>394</v>
      </c>
      <c r="H55" s="9" t="s">
        <v>394</v>
      </c>
      <c r="I55" s="9" t="s">
        <v>394</v>
      </c>
      <c r="J55" s="9" t="s">
        <v>394</v>
      </c>
      <c r="K55" s="9" t="s">
        <v>394</v>
      </c>
      <c r="L55" s="9" t="s">
        <v>422</v>
      </c>
      <c r="M55" s="9" t="s">
        <v>449</v>
      </c>
      <c r="N55" s="9" t="s">
        <v>475</v>
      </c>
      <c r="O55" s="9" t="s">
        <v>475</v>
      </c>
      <c r="P55" s="9" t="s">
        <v>475</v>
      </c>
      <c r="Q55" s="9" t="s">
        <v>475</v>
      </c>
      <c r="R55" s="9" t="s">
        <v>475</v>
      </c>
      <c r="S55" s="9" t="s">
        <v>475</v>
      </c>
      <c r="T55" s="9" t="s">
        <v>475</v>
      </c>
      <c r="U55" s="9" t="s">
        <v>475</v>
      </c>
      <c r="V55" s="9" t="s">
        <v>475</v>
      </c>
      <c r="W55" s="9" t="s">
        <v>475</v>
      </c>
      <c r="X55" s="9" t="s">
        <v>475</v>
      </c>
      <c r="Y55" s="9" t="s">
        <v>475</v>
      </c>
      <c r="Z55" s="9" t="s">
        <v>475</v>
      </c>
      <c r="AA55" s="9" t="s">
        <v>475</v>
      </c>
      <c r="AB55" s="9" t="s">
        <v>475</v>
      </c>
      <c r="AC55" s="9" t="s">
        <v>500</v>
      </c>
      <c r="AD55" s="9" t="s">
        <v>524</v>
      </c>
      <c r="AE55" s="9" t="s">
        <v>547</v>
      </c>
      <c r="AF55" s="9" t="s">
        <v>547</v>
      </c>
      <c r="AG55" s="9" t="s">
        <v>547</v>
      </c>
      <c r="AH55" s="9" t="s">
        <v>547</v>
      </c>
      <c r="AI55" s="9" t="s">
        <v>547</v>
      </c>
      <c r="AJ55" s="9" t="s">
        <v>547</v>
      </c>
      <c r="AK55" s="9" t="s">
        <v>547</v>
      </c>
      <c r="AL55" s="9" t="s">
        <v>547</v>
      </c>
      <c r="AM55" s="9" t="s">
        <v>547</v>
      </c>
      <c r="AN55" s="9" t="s">
        <v>547</v>
      </c>
      <c r="AO55" s="9" t="s">
        <v>569</v>
      </c>
      <c r="AP55" s="9" t="s">
        <v>590</v>
      </c>
      <c r="AQ55" s="9" t="s">
        <v>610</v>
      </c>
      <c r="AR55" s="9" t="s">
        <v>629</v>
      </c>
      <c r="AS55" s="9" t="s">
        <v>647</v>
      </c>
      <c r="AT55" s="9" t="s">
        <v>664</v>
      </c>
      <c r="AU55" s="9" t="s">
        <v>680</v>
      </c>
      <c r="AV55" s="9" t="s">
        <v>695</v>
      </c>
      <c r="AW55" s="9" t="s">
        <v>709</v>
      </c>
      <c r="AX55" s="9" t="s">
        <v>722</v>
      </c>
      <c r="AY55" s="9" t="s">
        <v>722</v>
      </c>
      <c r="AZ55" s="9" t="s">
        <v>734</v>
      </c>
      <c r="BA55" s="9" t="n">
        <v>0</v>
      </c>
      <c r="BB55" s="9" t="s">
        <v>746</v>
      </c>
      <c r="BC55" s="9" t="s">
        <v>747</v>
      </c>
      <c r="BD55" s="9" t="s">
        <v>748</v>
      </c>
      <c r="BE55" s="9" t="s">
        <v>748</v>
      </c>
      <c r="BF55" s="9" t="s">
        <v>749</v>
      </c>
      <c r="BG55" s="9" t="s">
        <v>750</v>
      </c>
      <c r="BH55" s="9" t="s">
        <v>750</v>
      </c>
      <c r="BI55" s="9" t="s">
        <v>750</v>
      </c>
      <c r="BJ55" s="9" t="s">
        <v>750</v>
      </c>
      <c r="BK55" s="9" t="s">
        <v>750</v>
      </c>
      <c r="BL55" s="9" t="s">
        <v>750</v>
      </c>
      <c r="BM55" s="9" t="s">
        <v>750</v>
      </c>
      <c r="BN55" s="9" t="s">
        <v>750</v>
      </c>
      <c r="BO55" s="9" t="s">
        <v>750</v>
      </c>
      <c r="BP55" s="9" t="s">
        <v>750</v>
      </c>
      <c r="BQ55" s="9" t="s">
        <v>751</v>
      </c>
      <c r="BR55" s="9" t="s">
        <v>752</v>
      </c>
      <c r="BS55" s="9" t="s">
        <v>753</v>
      </c>
      <c r="BT55" s="9" t="s">
        <v>754</v>
      </c>
      <c r="BU55" s="9" t="s">
        <v>755</v>
      </c>
      <c r="BV55" s="9" t="s">
        <v>756</v>
      </c>
      <c r="BW55" s="9" t="s">
        <v>364</v>
      </c>
      <c r="BX55" s="9" t="s">
        <v>364</v>
      </c>
      <c r="BY55" s="9" t="s">
        <v>364</v>
      </c>
      <c r="BZ55" s="9" t="s">
        <v>364</v>
      </c>
      <c r="CA55" s="9" t="s">
        <v>364</v>
      </c>
      <c r="CB55" s="9" t="s">
        <v>364</v>
      </c>
      <c r="CC55" s="9" t="s">
        <v>364</v>
      </c>
      <c r="CD55" s="9" t="s">
        <v>364</v>
      </c>
      <c r="CE55" s="9" t="s">
        <v>364</v>
      </c>
      <c r="CF55" s="9" t="s">
        <v>364</v>
      </c>
      <c r="CG55" s="9" t="s">
        <v>364</v>
      </c>
      <c r="CH55" s="9" t="s">
        <v>364</v>
      </c>
      <c r="CI55" s="9" t="s">
        <v>364</v>
      </c>
      <c r="CJ55" s="9" t="s">
        <v>364</v>
      </c>
      <c r="CK55" s="9" t="s">
        <v>364</v>
      </c>
      <c r="CL55" s="9" t="s">
        <v>364</v>
      </c>
      <c r="CM55" s="9" t="s">
        <v>364</v>
      </c>
      <c r="CN55" s="9" t="s">
        <v>364</v>
      </c>
      <c r="CO55" s="9" t="s">
        <v>364</v>
      </c>
      <c r="CP55" s="9" t="s">
        <v>364</v>
      </c>
    </row>
    <row r="56" spans="1:94" ht="15.75" customHeight="1">
      <c r="A56" s="56" t="s">
        <v>91</v>
      </c>
      <c r="B56" s="9" t="s">
        <v>365</v>
      </c>
      <c r="C56" s="9" t="s">
        <v>395</v>
      </c>
      <c r="D56" s="9" t="s">
        <v>395</v>
      </c>
      <c r="E56" s="9" t="s">
        <v>395</v>
      </c>
      <c r="F56" s="9" t="s">
        <v>395</v>
      </c>
      <c r="G56" s="9" t="s">
        <v>395</v>
      </c>
      <c r="H56" s="9" t="s">
        <v>395</v>
      </c>
      <c r="I56" s="9" t="s">
        <v>395</v>
      </c>
      <c r="J56" s="9" t="s">
        <v>395</v>
      </c>
      <c r="K56" s="9" t="s">
        <v>395</v>
      </c>
      <c r="L56" s="9" t="s">
        <v>423</v>
      </c>
      <c r="M56" s="9" t="s">
        <v>450</v>
      </c>
      <c r="N56" s="9" t="s">
        <v>476</v>
      </c>
      <c r="O56" s="9" t="s">
        <v>476</v>
      </c>
      <c r="P56" s="9" t="s">
        <v>476</v>
      </c>
      <c r="Q56" s="9" t="s">
        <v>476</v>
      </c>
      <c r="R56" s="9" t="s">
        <v>476</v>
      </c>
      <c r="S56" s="9" t="s">
        <v>476</v>
      </c>
      <c r="T56" s="9" t="s">
        <v>476</v>
      </c>
      <c r="U56" s="9" t="s">
        <v>476</v>
      </c>
      <c r="V56" s="9" t="s">
        <v>476</v>
      </c>
      <c r="W56" s="9" t="s">
        <v>476</v>
      </c>
      <c r="X56" s="9" t="s">
        <v>476</v>
      </c>
      <c r="Y56" s="9" t="s">
        <v>476</v>
      </c>
      <c r="Z56" s="9" t="s">
        <v>476</v>
      </c>
      <c r="AA56" s="9" t="s">
        <v>476</v>
      </c>
      <c r="AB56" s="9" t="s">
        <v>476</v>
      </c>
      <c r="AC56" s="9" t="s">
        <v>501</v>
      </c>
      <c r="AD56" s="9" t="s">
        <v>525</v>
      </c>
      <c r="AE56" s="9" t="s">
        <v>548</v>
      </c>
      <c r="AF56" s="9" t="s">
        <v>548</v>
      </c>
      <c r="AG56" s="9" t="s">
        <v>548</v>
      </c>
      <c r="AH56" s="9" t="s">
        <v>548</v>
      </c>
      <c r="AI56" s="9" t="s">
        <v>548</v>
      </c>
      <c r="AJ56" s="9" t="s">
        <v>548</v>
      </c>
      <c r="AK56" s="9" t="s">
        <v>548</v>
      </c>
      <c r="AL56" s="9" t="s">
        <v>548</v>
      </c>
      <c r="AM56" s="9" t="s">
        <v>548</v>
      </c>
      <c r="AN56" s="9" t="s">
        <v>548</v>
      </c>
      <c r="AO56" s="9" t="s">
        <v>570</v>
      </c>
      <c r="AP56" s="9" t="s">
        <v>591</v>
      </c>
      <c r="AQ56" s="9" t="s">
        <v>611</v>
      </c>
      <c r="AR56" s="9" t="s">
        <v>630</v>
      </c>
      <c r="AS56" s="9" t="s">
        <v>648</v>
      </c>
      <c r="AT56" s="9" t="s">
        <v>665</v>
      </c>
      <c r="AU56" s="9" t="s">
        <v>681</v>
      </c>
      <c r="AV56" s="9" t="s">
        <v>696</v>
      </c>
      <c r="AW56" s="9" t="s">
        <v>710</v>
      </c>
      <c r="AX56" s="9" t="s">
        <v>723</v>
      </c>
      <c r="AY56" s="9" t="s">
        <v>723</v>
      </c>
      <c r="AZ56" s="9" t="s">
        <v>735</v>
      </c>
      <c r="BA56" s="9" t="s">
        <v>746</v>
      </c>
      <c r="BB56" s="9" t="n">
        <v>0</v>
      </c>
      <c r="BC56" s="9" t="s">
        <v>757</v>
      </c>
      <c r="BD56" s="9" t="s">
        <v>758</v>
      </c>
      <c r="BE56" s="9" t="s">
        <v>758</v>
      </c>
      <c r="BF56" s="9" t="s">
        <v>759</v>
      </c>
      <c r="BG56" s="9" t="s">
        <v>760</v>
      </c>
      <c r="BH56" s="9" t="s">
        <v>760</v>
      </c>
      <c r="BI56" s="9" t="s">
        <v>760</v>
      </c>
      <c r="BJ56" s="9" t="s">
        <v>760</v>
      </c>
      <c r="BK56" s="9" t="s">
        <v>760</v>
      </c>
      <c r="BL56" s="9" t="s">
        <v>760</v>
      </c>
      <c r="BM56" s="9" t="s">
        <v>760</v>
      </c>
      <c r="BN56" s="9" t="s">
        <v>760</v>
      </c>
      <c r="BO56" s="9" t="s">
        <v>760</v>
      </c>
      <c r="BP56" s="9" t="s">
        <v>760</v>
      </c>
      <c r="BQ56" s="9" t="s">
        <v>761</v>
      </c>
      <c r="BR56" s="9" t="s">
        <v>762</v>
      </c>
      <c r="BS56" s="9" t="s">
        <v>763</v>
      </c>
      <c r="BT56" s="9" t="s">
        <v>764</v>
      </c>
      <c r="BU56" s="9" t="s">
        <v>765</v>
      </c>
      <c r="BV56" s="9" t="s">
        <v>766</v>
      </c>
      <c r="BW56" s="9" t="s">
        <v>365</v>
      </c>
      <c r="BX56" s="9" t="s">
        <v>365</v>
      </c>
      <c r="BY56" s="9" t="s">
        <v>365</v>
      </c>
      <c r="BZ56" s="9" t="s">
        <v>365</v>
      </c>
      <c r="CA56" s="9" t="s">
        <v>365</v>
      </c>
      <c r="CB56" s="9" t="s">
        <v>365</v>
      </c>
      <c r="CC56" s="9" t="s">
        <v>365</v>
      </c>
      <c r="CD56" s="9" t="s">
        <v>365</v>
      </c>
      <c r="CE56" s="9" t="s">
        <v>365</v>
      </c>
      <c r="CF56" s="9" t="s">
        <v>365</v>
      </c>
      <c r="CG56" s="9" t="s">
        <v>365</v>
      </c>
      <c r="CH56" s="9" t="s">
        <v>365</v>
      </c>
      <c r="CI56" s="9" t="s">
        <v>365</v>
      </c>
      <c r="CJ56" s="9" t="s">
        <v>365</v>
      </c>
      <c r="CK56" s="9" t="s">
        <v>365</v>
      </c>
      <c r="CL56" s="9" t="s">
        <v>365</v>
      </c>
      <c r="CM56" s="9" t="s">
        <v>365</v>
      </c>
      <c r="CN56" s="9" t="s">
        <v>365</v>
      </c>
      <c r="CO56" s="9" t="s">
        <v>365</v>
      </c>
      <c r="CP56" s="9" t="s">
        <v>365</v>
      </c>
    </row>
    <row r="57" spans="1:94" ht="15.75" customHeight="1">
      <c r="A57" s="56" t="s">
        <v>108</v>
      </c>
      <c r="B57" s="9" t="s">
        <v>366</v>
      </c>
      <c r="C57" s="9" t="s">
        <v>396</v>
      </c>
      <c r="D57" s="9" t="s">
        <v>396</v>
      </c>
      <c r="E57" s="9" t="s">
        <v>396</v>
      </c>
      <c r="F57" s="9" t="s">
        <v>396</v>
      </c>
      <c r="G57" s="9" t="s">
        <v>396</v>
      </c>
      <c r="H57" s="9" t="s">
        <v>396</v>
      </c>
      <c r="I57" s="9" t="s">
        <v>396</v>
      </c>
      <c r="J57" s="9" t="s">
        <v>396</v>
      </c>
      <c r="K57" s="9" t="s">
        <v>396</v>
      </c>
      <c r="L57" s="9" t="s">
        <v>424</v>
      </c>
      <c r="M57" s="9" t="s">
        <v>451</v>
      </c>
      <c r="N57" s="9" t="s">
        <v>477</v>
      </c>
      <c r="O57" s="9" t="s">
        <v>477</v>
      </c>
      <c r="P57" s="9" t="s">
        <v>477</v>
      </c>
      <c r="Q57" s="9" t="s">
        <v>477</v>
      </c>
      <c r="R57" s="9" t="s">
        <v>477</v>
      </c>
      <c r="S57" s="9" t="s">
        <v>477</v>
      </c>
      <c r="T57" s="9" t="s">
        <v>477</v>
      </c>
      <c r="U57" s="9" t="s">
        <v>477</v>
      </c>
      <c r="V57" s="9" t="s">
        <v>477</v>
      </c>
      <c r="W57" s="9" t="s">
        <v>477</v>
      </c>
      <c r="X57" s="9" t="s">
        <v>477</v>
      </c>
      <c r="Y57" s="9" t="s">
        <v>477</v>
      </c>
      <c r="Z57" s="9" t="s">
        <v>477</v>
      </c>
      <c r="AA57" s="9" t="s">
        <v>477</v>
      </c>
      <c r="AB57" s="9" t="s">
        <v>477</v>
      </c>
      <c r="AC57" s="9" t="s">
        <v>502</v>
      </c>
      <c r="AD57" s="9" t="s">
        <v>526</v>
      </c>
      <c r="AE57" s="9" t="s">
        <v>549</v>
      </c>
      <c r="AF57" s="9" t="s">
        <v>549</v>
      </c>
      <c r="AG57" s="9" t="s">
        <v>549</v>
      </c>
      <c r="AH57" s="9" t="s">
        <v>549</v>
      </c>
      <c r="AI57" s="9" t="s">
        <v>549</v>
      </c>
      <c r="AJ57" s="9" t="s">
        <v>549</v>
      </c>
      <c r="AK57" s="9" t="s">
        <v>549</v>
      </c>
      <c r="AL57" s="9" t="s">
        <v>549</v>
      </c>
      <c r="AM57" s="9" t="s">
        <v>549</v>
      </c>
      <c r="AN57" s="9" t="s">
        <v>549</v>
      </c>
      <c r="AO57" s="9" t="s">
        <v>571</v>
      </c>
      <c r="AP57" s="9" t="s">
        <v>592</v>
      </c>
      <c r="AQ57" s="9" t="s">
        <v>612</v>
      </c>
      <c r="AR57" s="9" t="s">
        <v>631</v>
      </c>
      <c r="AS57" s="9" t="s">
        <v>649</v>
      </c>
      <c r="AT57" s="9" t="s">
        <v>666</v>
      </c>
      <c r="AU57" s="9" t="s">
        <v>682</v>
      </c>
      <c r="AV57" s="9" t="s">
        <v>697</v>
      </c>
      <c r="AW57" s="9" t="s">
        <v>711</v>
      </c>
      <c r="AX57" s="9" t="s">
        <v>724</v>
      </c>
      <c r="AY57" s="9" t="s">
        <v>724</v>
      </c>
      <c r="AZ57" s="9" t="s">
        <v>736</v>
      </c>
      <c r="BA57" s="9" t="s">
        <v>747</v>
      </c>
      <c r="BB57" s="9" t="s">
        <v>757</v>
      </c>
      <c r="BC57" s="9" t="n">
        <v>0</v>
      </c>
      <c r="BD57" s="9" t="s">
        <v>767</v>
      </c>
      <c r="BE57" s="9" t="s">
        <v>767</v>
      </c>
      <c r="BF57" s="9" t="s">
        <v>768</v>
      </c>
      <c r="BG57" s="9" t="s">
        <v>769</v>
      </c>
      <c r="BH57" s="9" t="s">
        <v>769</v>
      </c>
      <c r="BI57" s="9" t="s">
        <v>769</v>
      </c>
      <c r="BJ57" s="9" t="s">
        <v>769</v>
      </c>
      <c r="BK57" s="9" t="s">
        <v>769</v>
      </c>
      <c r="BL57" s="9" t="s">
        <v>769</v>
      </c>
      <c r="BM57" s="9" t="s">
        <v>769</v>
      </c>
      <c r="BN57" s="9" t="s">
        <v>769</v>
      </c>
      <c r="BO57" s="9" t="s">
        <v>769</v>
      </c>
      <c r="BP57" s="9" t="s">
        <v>769</v>
      </c>
      <c r="BQ57" s="9" t="s">
        <v>770</v>
      </c>
      <c r="BR57" s="9" t="s">
        <v>771</v>
      </c>
      <c r="BS57" s="9" t="s">
        <v>772</v>
      </c>
      <c r="BT57" s="9" t="s">
        <v>773</v>
      </c>
      <c r="BU57" s="9" t="s">
        <v>774</v>
      </c>
      <c r="BV57" s="9" t="s">
        <v>775</v>
      </c>
      <c r="BW57" s="9" t="s">
        <v>366</v>
      </c>
      <c r="BX57" s="9" t="s">
        <v>366</v>
      </c>
      <c r="BY57" s="9" t="s">
        <v>366</v>
      </c>
      <c r="BZ57" s="9" t="s">
        <v>366</v>
      </c>
      <c r="CA57" s="9" t="s">
        <v>366</v>
      </c>
      <c r="CB57" s="9" t="s">
        <v>366</v>
      </c>
      <c r="CC57" s="9" t="s">
        <v>366</v>
      </c>
      <c r="CD57" s="9" t="s">
        <v>366</v>
      </c>
      <c r="CE57" s="9" t="s">
        <v>366</v>
      </c>
      <c r="CF57" s="9" t="s">
        <v>366</v>
      </c>
      <c r="CG57" s="9" t="s">
        <v>366</v>
      </c>
      <c r="CH57" s="9" t="s">
        <v>366</v>
      </c>
      <c r="CI57" s="9" t="s">
        <v>366</v>
      </c>
      <c r="CJ57" s="9" t="s">
        <v>366</v>
      </c>
      <c r="CK57" s="9" t="s">
        <v>366</v>
      </c>
      <c r="CL57" s="9" t="s">
        <v>366</v>
      </c>
      <c r="CM57" s="9" t="s">
        <v>366</v>
      </c>
      <c r="CN57" s="9" t="s">
        <v>366</v>
      </c>
      <c r="CO57" s="9" t="s">
        <v>366</v>
      </c>
      <c r="CP57" s="9" t="s">
        <v>366</v>
      </c>
    </row>
    <row r="58" spans="1:94" ht="15.75" customHeight="1">
      <c r="A58" s="56" t="s">
        <v>71</v>
      </c>
      <c r="B58" s="9" t="s">
        <v>367</v>
      </c>
      <c r="C58" s="9" t="s">
        <v>397</v>
      </c>
      <c r="D58" s="9" t="s">
        <v>397</v>
      </c>
      <c r="E58" s="9" t="s">
        <v>397</v>
      </c>
      <c r="F58" s="9" t="s">
        <v>397</v>
      </c>
      <c r="G58" s="9" t="s">
        <v>397</v>
      </c>
      <c r="H58" s="9" t="s">
        <v>397</v>
      </c>
      <c r="I58" s="9" t="s">
        <v>397</v>
      </c>
      <c r="J58" s="9" t="s">
        <v>397</v>
      </c>
      <c r="K58" s="9" t="s">
        <v>397</v>
      </c>
      <c r="L58" s="9" t="s">
        <v>425</v>
      </c>
      <c r="M58" s="9" t="s">
        <v>452</v>
      </c>
      <c r="N58" s="9" t="s">
        <v>478</v>
      </c>
      <c r="O58" s="9" t="s">
        <v>478</v>
      </c>
      <c r="P58" s="9" t="s">
        <v>478</v>
      </c>
      <c r="Q58" s="9" t="s">
        <v>478</v>
      </c>
      <c r="R58" s="9" t="s">
        <v>478</v>
      </c>
      <c r="S58" s="9" t="s">
        <v>478</v>
      </c>
      <c r="T58" s="9" t="s">
        <v>478</v>
      </c>
      <c r="U58" s="9" t="s">
        <v>478</v>
      </c>
      <c r="V58" s="9" t="s">
        <v>478</v>
      </c>
      <c r="W58" s="9" t="s">
        <v>478</v>
      </c>
      <c r="X58" s="9" t="s">
        <v>478</v>
      </c>
      <c r="Y58" s="9" t="s">
        <v>478</v>
      </c>
      <c r="Z58" s="9" t="s">
        <v>478</v>
      </c>
      <c r="AA58" s="9" t="s">
        <v>478</v>
      </c>
      <c r="AB58" s="9" t="s">
        <v>478</v>
      </c>
      <c r="AC58" s="9" t="s">
        <v>503</v>
      </c>
      <c r="AD58" s="9" t="s">
        <v>527</v>
      </c>
      <c r="AE58" s="9" t="s">
        <v>550</v>
      </c>
      <c r="AF58" s="9" t="s">
        <v>550</v>
      </c>
      <c r="AG58" s="9" t="s">
        <v>550</v>
      </c>
      <c r="AH58" s="9" t="s">
        <v>550</v>
      </c>
      <c r="AI58" s="9" t="s">
        <v>550</v>
      </c>
      <c r="AJ58" s="9" t="s">
        <v>550</v>
      </c>
      <c r="AK58" s="9" t="s">
        <v>550</v>
      </c>
      <c r="AL58" s="9" t="s">
        <v>550</v>
      </c>
      <c r="AM58" s="9" t="s">
        <v>550</v>
      </c>
      <c r="AN58" s="9" t="s">
        <v>550</v>
      </c>
      <c r="AO58" s="9" t="s">
        <v>572</v>
      </c>
      <c r="AP58" s="9" t="s">
        <v>593</v>
      </c>
      <c r="AQ58" s="9" t="s">
        <v>613</v>
      </c>
      <c r="AR58" s="9" t="s">
        <v>632</v>
      </c>
      <c r="AS58" s="9" t="s">
        <v>650</v>
      </c>
      <c r="AT58" s="9" t="s">
        <v>667</v>
      </c>
      <c r="AU58" s="9" t="s">
        <v>683</v>
      </c>
      <c r="AV58" s="9" t="s">
        <v>698</v>
      </c>
      <c r="AW58" s="9" t="s">
        <v>712</v>
      </c>
      <c r="AX58" s="9" t="s">
        <v>725</v>
      </c>
      <c r="AY58" s="9" t="s">
        <v>725</v>
      </c>
      <c r="AZ58" s="9" t="s">
        <v>737</v>
      </c>
      <c r="BA58" s="9" t="s">
        <v>748</v>
      </c>
      <c r="BB58" s="9" t="s">
        <v>758</v>
      </c>
      <c r="BC58" s="9" t="s">
        <v>767</v>
      </c>
      <c r="BD58" s="9" t="n">
        <v>0</v>
      </c>
      <c r="BE58" s="9" t="s">
        <v>376</v>
      </c>
      <c r="BF58" s="9" t="s">
        <v>776</v>
      </c>
      <c r="BG58" s="9" t="s">
        <v>777</v>
      </c>
      <c r="BH58" s="9" t="s">
        <v>777</v>
      </c>
      <c r="BI58" s="9" t="s">
        <v>777</v>
      </c>
      <c r="BJ58" s="9" t="s">
        <v>777</v>
      </c>
      <c r="BK58" s="9" t="s">
        <v>777</v>
      </c>
      <c r="BL58" s="9" t="s">
        <v>777</v>
      </c>
      <c r="BM58" s="9" t="s">
        <v>777</v>
      </c>
      <c r="BN58" s="9" t="s">
        <v>777</v>
      </c>
      <c r="BO58" s="9" t="s">
        <v>777</v>
      </c>
      <c r="BP58" s="9" t="s">
        <v>777</v>
      </c>
      <c r="BQ58" s="9" t="s">
        <v>778</v>
      </c>
      <c r="BR58" s="9" t="s">
        <v>779</v>
      </c>
      <c r="BS58" s="9" t="s">
        <v>780</v>
      </c>
      <c r="BT58" s="9" t="s">
        <v>781</v>
      </c>
      <c r="BU58" s="9" t="s">
        <v>782</v>
      </c>
      <c r="BV58" s="9" t="s">
        <v>783</v>
      </c>
      <c r="BW58" s="9" t="s">
        <v>367</v>
      </c>
      <c r="BX58" s="9" t="s">
        <v>367</v>
      </c>
      <c r="BY58" s="9" t="s">
        <v>367</v>
      </c>
      <c r="BZ58" s="9" t="s">
        <v>367</v>
      </c>
      <c r="CA58" s="9" t="s">
        <v>367</v>
      </c>
      <c r="CB58" s="9" t="s">
        <v>367</v>
      </c>
      <c r="CC58" s="9" t="s">
        <v>367</v>
      </c>
      <c r="CD58" s="9" t="s">
        <v>367</v>
      </c>
      <c r="CE58" s="9" t="s">
        <v>367</v>
      </c>
      <c r="CF58" s="9" t="s">
        <v>367</v>
      </c>
      <c r="CG58" s="9" t="s">
        <v>367</v>
      </c>
      <c r="CH58" s="9" t="s">
        <v>367</v>
      </c>
      <c r="CI58" s="9" t="s">
        <v>367</v>
      </c>
      <c r="CJ58" s="9" t="s">
        <v>367</v>
      </c>
      <c r="CK58" s="9" t="s">
        <v>367</v>
      </c>
      <c r="CL58" s="9" t="s">
        <v>367</v>
      </c>
      <c r="CM58" s="9" t="s">
        <v>367</v>
      </c>
      <c r="CN58" s="9" t="s">
        <v>367</v>
      </c>
      <c r="CO58" s="9" t="s">
        <v>367</v>
      </c>
      <c r="CP58" s="9" t="s">
        <v>367</v>
      </c>
    </row>
    <row r="59" spans="1:94" ht="15.75" customHeight="1">
      <c r="A59" s="56" t="s">
        <v>82</v>
      </c>
      <c r="B59" s="9" t="s">
        <v>367</v>
      </c>
      <c r="C59" s="9" t="s">
        <v>397</v>
      </c>
      <c r="D59" s="9" t="s">
        <v>397</v>
      </c>
      <c r="E59" s="9" t="s">
        <v>397</v>
      </c>
      <c r="F59" s="9" t="s">
        <v>397</v>
      </c>
      <c r="G59" s="9" t="s">
        <v>397</v>
      </c>
      <c r="H59" s="9" t="s">
        <v>397</v>
      </c>
      <c r="I59" s="9" t="s">
        <v>397</v>
      </c>
      <c r="J59" s="9" t="s">
        <v>397</v>
      </c>
      <c r="K59" s="9" t="s">
        <v>397</v>
      </c>
      <c r="L59" s="9" t="s">
        <v>425</v>
      </c>
      <c r="M59" s="9" t="s">
        <v>452</v>
      </c>
      <c r="N59" s="9" t="s">
        <v>478</v>
      </c>
      <c r="O59" s="9" t="s">
        <v>478</v>
      </c>
      <c r="P59" s="9" t="s">
        <v>478</v>
      </c>
      <c r="Q59" s="9" t="s">
        <v>478</v>
      </c>
      <c r="R59" s="9" t="s">
        <v>478</v>
      </c>
      <c r="S59" s="9" t="s">
        <v>478</v>
      </c>
      <c r="T59" s="9" t="s">
        <v>478</v>
      </c>
      <c r="U59" s="9" t="s">
        <v>478</v>
      </c>
      <c r="V59" s="9" t="s">
        <v>478</v>
      </c>
      <c r="W59" s="9" t="s">
        <v>478</v>
      </c>
      <c r="X59" s="9" t="s">
        <v>478</v>
      </c>
      <c r="Y59" s="9" t="s">
        <v>478</v>
      </c>
      <c r="Z59" s="9" t="s">
        <v>478</v>
      </c>
      <c r="AA59" s="9" t="s">
        <v>478</v>
      </c>
      <c r="AB59" s="9" t="s">
        <v>478</v>
      </c>
      <c r="AC59" s="9" t="s">
        <v>503</v>
      </c>
      <c r="AD59" s="9" t="s">
        <v>527</v>
      </c>
      <c r="AE59" s="9" t="s">
        <v>550</v>
      </c>
      <c r="AF59" s="9" t="s">
        <v>550</v>
      </c>
      <c r="AG59" s="9" t="s">
        <v>550</v>
      </c>
      <c r="AH59" s="9" t="s">
        <v>550</v>
      </c>
      <c r="AI59" s="9" t="s">
        <v>550</v>
      </c>
      <c r="AJ59" s="9" t="s">
        <v>550</v>
      </c>
      <c r="AK59" s="9" t="s">
        <v>550</v>
      </c>
      <c r="AL59" s="9" t="s">
        <v>550</v>
      </c>
      <c r="AM59" s="9" t="s">
        <v>550</v>
      </c>
      <c r="AN59" s="9" t="s">
        <v>550</v>
      </c>
      <c r="AO59" s="9" t="s">
        <v>572</v>
      </c>
      <c r="AP59" s="9" t="s">
        <v>593</v>
      </c>
      <c r="AQ59" s="9" t="s">
        <v>613</v>
      </c>
      <c r="AR59" s="9" t="s">
        <v>632</v>
      </c>
      <c r="AS59" s="9" t="s">
        <v>650</v>
      </c>
      <c r="AT59" s="9" t="s">
        <v>667</v>
      </c>
      <c r="AU59" s="9" t="s">
        <v>683</v>
      </c>
      <c r="AV59" s="9" t="s">
        <v>698</v>
      </c>
      <c r="AW59" s="9" t="s">
        <v>712</v>
      </c>
      <c r="AX59" s="9" t="s">
        <v>725</v>
      </c>
      <c r="AY59" s="9" t="s">
        <v>725</v>
      </c>
      <c r="AZ59" s="9" t="s">
        <v>737</v>
      </c>
      <c r="BA59" s="9" t="s">
        <v>748</v>
      </c>
      <c r="BB59" s="9" t="s">
        <v>758</v>
      </c>
      <c r="BC59" s="9" t="s">
        <v>767</v>
      </c>
      <c r="BD59" s="9" t="s">
        <v>376</v>
      </c>
      <c r="BE59" s="9" t="n">
        <v>0</v>
      </c>
      <c r="BF59" s="9" t="s">
        <v>776</v>
      </c>
      <c r="BG59" s="9" t="s">
        <v>777</v>
      </c>
      <c r="BH59" s="9" t="s">
        <v>777</v>
      </c>
      <c r="BI59" s="9" t="s">
        <v>777</v>
      </c>
      <c r="BJ59" s="9" t="s">
        <v>777</v>
      </c>
      <c r="BK59" s="9" t="s">
        <v>777</v>
      </c>
      <c r="BL59" s="9" t="s">
        <v>777</v>
      </c>
      <c r="BM59" s="9" t="s">
        <v>777</v>
      </c>
      <c r="BN59" s="9" t="s">
        <v>777</v>
      </c>
      <c r="BO59" s="9" t="s">
        <v>777</v>
      </c>
      <c r="BP59" s="9" t="s">
        <v>777</v>
      </c>
      <c r="BQ59" s="9" t="s">
        <v>778</v>
      </c>
      <c r="BR59" s="9" t="s">
        <v>779</v>
      </c>
      <c r="BS59" s="9" t="s">
        <v>780</v>
      </c>
      <c r="BT59" s="9" t="s">
        <v>781</v>
      </c>
      <c r="BU59" s="9" t="s">
        <v>782</v>
      </c>
      <c r="BV59" s="9" t="s">
        <v>783</v>
      </c>
      <c r="BW59" s="9" t="s">
        <v>367</v>
      </c>
      <c r="BX59" s="9" t="s">
        <v>367</v>
      </c>
      <c r="BY59" s="9" t="s">
        <v>367</v>
      </c>
      <c r="BZ59" s="9" t="s">
        <v>367</v>
      </c>
      <c r="CA59" s="9" t="s">
        <v>367</v>
      </c>
      <c r="CB59" s="9" t="s">
        <v>367</v>
      </c>
      <c r="CC59" s="9" t="s">
        <v>367</v>
      </c>
      <c r="CD59" s="9" t="s">
        <v>367</v>
      </c>
      <c r="CE59" s="9" t="s">
        <v>367</v>
      </c>
      <c r="CF59" s="9" t="s">
        <v>367</v>
      </c>
      <c r="CG59" s="9" t="s">
        <v>367</v>
      </c>
      <c r="CH59" s="9" t="s">
        <v>367</v>
      </c>
      <c r="CI59" s="9" t="s">
        <v>367</v>
      </c>
      <c r="CJ59" s="9" t="s">
        <v>367</v>
      </c>
      <c r="CK59" s="9" t="s">
        <v>367</v>
      </c>
      <c r="CL59" s="9" t="s">
        <v>367</v>
      </c>
      <c r="CM59" s="9" t="s">
        <v>367</v>
      </c>
      <c r="CN59" s="9" t="s">
        <v>367</v>
      </c>
      <c r="CO59" s="9" t="s">
        <v>367</v>
      </c>
      <c r="CP59" s="9" t="s">
        <v>367</v>
      </c>
    </row>
    <row r="60" spans="1:94" ht="15.75" customHeight="1">
      <c r="A60" s="56" t="s">
        <v>102</v>
      </c>
      <c r="B60" s="9" t="s">
        <v>368</v>
      </c>
      <c r="C60" s="9" t="s">
        <v>398</v>
      </c>
      <c r="D60" s="9" t="s">
        <v>398</v>
      </c>
      <c r="E60" s="9" t="s">
        <v>398</v>
      </c>
      <c r="F60" s="9" t="s">
        <v>398</v>
      </c>
      <c r="G60" s="9" t="s">
        <v>398</v>
      </c>
      <c r="H60" s="9" t="s">
        <v>398</v>
      </c>
      <c r="I60" s="9" t="s">
        <v>398</v>
      </c>
      <c r="J60" s="9" t="s">
        <v>398</v>
      </c>
      <c r="K60" s="9" t="s">
        <v>398</v>
      </c>
      <c r="L60" s="9" t="s">
        <v>426</v>
      </c>
      <c r="M60" s="9" t="s">
        <v>453</v>
      </c>
      <c r="N60" s="9" t="s">
        <v>479</v>
      </c>
      <c r="O60" s="9" t="s">
        <v>479</v>
      </c>
      <c r="P60" s="9" t="s">
        <v>479</v>
      </c>
      <c r="Q60" s="9" t="s">
        <v>479</v>
      </c>
      <c r="R60" s="9" t="s">
        <v>479</v>
      </c>
      <c r="S60" s="9" t="s">
        <v>479</v>
      </c>
      <c r="T60" s="9" t="s">
        <v>479</v>
      </c>
      <c r="U60" s="9" t="s">
        <v>479</v>
      </c>
      <c r="V60" s="9" t="s">
        <v>479</v>
      </c>
      <c r="W60" s="9" t="s">
        <v>479</v>
      </c>
      <c r="X60" s="9" t="s">
        <v>479</v>
      </c>
      <c r="Y60" s="9" t="s">
        <v>479</v>
      </c>
      <c r="Z60" s="9" t="s">
        <v>479</v>
      </c>
      <c r="AA60" s="9" t="s">
        <v>479</v>
      </c>
      <c r="AB60" s="9" t="s">
        <v>479</v>
      </c>
      <c r="AC60" s="9" t="s">
        <v>504</v>
      </c>
      <c r="AD60" s="9" t="s">
        <v>528</v>
      </c>
      <c r="AE60" s="9" t="s">
        <v>551</v>
      </c>
      <c r="AF60" s="9" t="s">
        <v>551</v>
      </c>
      <c r="AG60" s="9" t="s">
        <v>551</v>
      </c>
      <c r="AH60" s="9" t="s">
        <v>551</v>
      </c>
      <c r="AI60" s="9" t="s">
        <v>551</v>
      </c>
      <c r="AJ60" s="9" t="s">
        <v>551</v>
      </c>
      <c r="AK60" s="9" t="s">
        <v>551</v>
      </c>
      <c r="AL60" s="9" t="s">
        <v>551</v>
      </c>
      <c r="AM60" s="9" t="s">
        <v>551</v>
      </c>
      <c r="AN60" s="9" t="s">
        <v>551</v>
      </c>
      <c r="AO60" s="9" t="s">
        <v>573</v>
      </c>
      <c r="AP60" s="9" t="s">
        <v>594</v>
      </c>
      <c r="AQ60" s="9" t="s">
        <v>614</v>
      </c>
      <c r="AR60" s="9" t="s">
        <v>633</v>
      </c>
      <c r="AS60" s="9" t="s">
        <v>651</v>
      </c>
      <c r="AT60" s="9" t="s">
        <v>668</v>
      </c>
      <c r="AU60" s="9" t="s">
        <v>684</v>
      </c>
      <c r="AV60" s="9" t="s">
        <v>699</v>
      </c>
      <c r="AW60" s="9" t="s">
        <v>713</v>
      </c>
      <c r="AX60" s="9" t="s">
        <v>726</v>
      </c>
      <c r="AY60" s="9" t="s">
        <v>726</v>
      </c>
      <c r="AZ60" s="9" t="s">
        <v>738</v>
      </c>
      <c r="BA60" s="9" t="s">
        <v>749</v>
      </c>
      <c r="BB60" s="9" t="s">
        <v>759</v>
      </c>
      <c r="BC60" s="9" t="s">
        <v>768</v>
      </c>
      <c r="BD60" s="9" t="s">
        <v>776</v>
      </c>
      <c r="BE60" s="9" t="s">
        <v>776</v>
      </c>
      <c r="BF60" s="9" t="n">
        <v>0</v>
      </c>
      <c r="BG60" s="9" t="s">
        <v>784</v>
      </c>
      <c r="BH60" s="9" t="s">
        <v>784</v>
      </c>
      <c r="BI60" s="9" t="s">
        <v>784</v>
      </c>
      <c r="BJ60" s="9" t="s">
        <v>784</v>
      </c>
      <c r="BK60" s="9" t="s">
        <v>784</v>
      </c>
      <c r="BL60" s="9" t="s">
        <v>784</v>
      </c>
      <c r="BM60" s="9" t="s">
        <v>784</v>
      </c>
      <c r="BN60" s="9" t="s">
        <v>784</v>
      </c>
      <c r="BO60" s="9" t="s">
        <v>784</v>
      </c>
      <c r="BP60" s="9" t="s">
        <v>784</v>
      </c>
      <c r="BQ60" s="9" t="s">
        <v>785</v>
      </c>
      <c r="BR60" s="9" t="s">
        <v>786</v>
      </c>
      <c r="BS60" s="9" t="s">
        <v>787</v>
      </c>
      <c r="BT60" s="9" t="s">
        <v>788</v>
      </c>
      <c r="BU60" s="9" t="s">
        <v>789</v>
      </c>
      <c r="BV60" s="9" t="s">
        <v>790</v>
      </c>
      <c r="BW60" s="9" t="s">
        <v>368</v>
      </c>
      <c r="BX60" s="9" t="s">
        <v>368</v>
      </c>
      <c r="BY60" s="9" t="s">
        <v>368</v>
      </c>
      <c r="BZ60" s="9" t="s">
        <v>368</v>
      </c>
      <c r="CA60" s="9" t="s">
        <v>368</v>
      </c>
      <c r="CB60" s="9" t="s">
        <v>368</v>
      </c>
      <c r="CC60" s="9" t="s">
        <v>368</v>
      </c>
      <c r="CD60" s="9" t="s">
        <v>368</v>
      </c>
      <c r="CE60" s="9" t="s">
        <v>368</v>
      </c>
      <c r="CF60" s="9" t="s">
        <v>368</v>
      </c>
      <c r="CG60" s="9" t="s">
        <v>368</v>
      </c>
      <c r="CH60" s="9" t="s">
        <v>368</v>
      </c>
      <c r="CI60" s="9" t="s">
        <v>368</v>
      </c>
      <c r="CJ60" s="9" t="s">
        <v>368</v>
      </c>
      <c r="CK60" s="9" t="s">
        <v>368</v>
      </c>
      <c r="CL60" s="9" t="s">
        <v>368</v>
      </c>
      <c r="CM60" s="9" t="s">
        <v>368</v>
      </c>
      <c r="CN60" s="9" t="s">
        <v>368</v>
      </c>
      <c r="CO60" s="9" t="s">
        <v>368</v>
      </c>
      <c r="CP60" s="9" t="s">
        <v>368</v>
      </c>
    </row>
    <row r="61" spans="1:94" ht="15.75" customHeight="1">
      <c r="A61" s="56" t="s">
        <v>73</v>
      </c>
      <c r="B61" s="9" t="s">
        <v>369</v>
      </c>
      <c r="C61" s="9" t="s">
        <v>399</v>
      </c>
      <c r="D61" s="9" t="s">
        <v>399</v>
      </c>
      <c r="E61" s="9" t="s">
        <v>399</v>
      </c>
      <c r="F61" s="9" t="s">
        <v>399</v>
      </c>
      <c r="G61" s="9" t="s">
        <v>399</v>
      </c>
      <c r="H61" s="9" t="s">
        <v>399</v>
      </c>
      <c r="I61" s="9" t="s">
        <v>399</v>
      </c>
      <c r="J61" s="9" t="s">
        <v>399</v>
      </c>
      <c r="K61" s="9" t="s">
        <v>399</v>
      </c>
      <c r="L61" s="9" t="s">
        <v>427</v>
      </c>
      <c r="M61" s="9" t="s">
        <v>454</v>
      </c>
      <c r="N61" s="9" t="s">
        <v>480</v>
      </c>
      <c r="O61" s="9" t="s">
        <v>480</v>
      </c>
      <c r="P61" s="9" t="s">
        <v>480</v>
      </c>
      <c r="Q61" s="9" t="s">
        <v>480</v>
      </c>
      <c r="R61" s="9" t="s">
        <v>480</v>
      </c>
      <c r="S61" s="9" t="s">
        <v>480</v>
      </c>
      <c r="T61" s="9" t="s">
        <v>480</v>
      </c>
      <c r="U61" s="9" t="s">
        <v>480</v>
      </c>
      <c r="V61" s="9" t="s">
        <v>480</v>
      </c>
      <c r="W61" s="9" t="s">
        <v>480</v>
      </c>
      <c r="X61" s="9" t="s">
        <v>480</v>
      </c>
      <c r="Y61" s="9" t="s">
        <v>480</v>
      </c>
      <c r="Z61" s="9" t="s">
        <v>480</v>
      </c>
      <c r="AA61" s="9" t="s">
        <v>480</v>
      </c>
      <c r="AB61" s="9" t="s">
        <v>480</v>
      </c>
      <c r="AC61" s="9" t="s">
        <v>505</v>
      </c>
      <c r="AD61" s="9" t="s">
        <v>529</v>
      </c>
      <c r="AE61" s="9" t="s">
        <v>552</v>
      </c>
      <c r="AF61" s="9" t="s">
        <v>552</v>
      </c>
      <c r="AG61" s="9" t="s">
        <v>552</v>
      </c>
      <c r="AH61" s="9" t="s">
        <v>552</v>
      </c>
      <c r="AI61" s="9" t="s">
        <v>552</v>
      </c>
      <c r="AJ61" s="9" t="s">
        <v>552</v>
      </c>
      <c r="AK61" s="9" t="s">
        <v>552</v>
      </c>
      <c r="AL61" s="9" t="s">
        <v>552</v>
      </c>
      <c r="AM61" s="9" t="s">
        <v>552</v>
      </c>
      <c r="AN61" s="9" t="s">
        <v>552</v>
      </c>
      <c r="AO61" s="9" t="s">
        <v>574</v>
      </c>
      <c r="AP61" s="9" t="s">
        <v>595</v>
      </c>
      <c r="AQ61" s="9" t="s">
        <v>615</v>
      </c>
      <c r="AR61" s="9" t="s">
        <v>634</v>
      </c>
      <c r="AS61" s="9" t="s">
        <v>652</v>
      </c>
      <c r="AT61" s="9" t="s">
        <v>669</v>
      </c>
      <c r="AU61" s="9" t="s">
        <v>685</v>
      </c>
      <c r="AV61" s="9" t="s">
        <v>700</v>
      </c>
      <c r="AW61" s="9" t="s">
        <v>714</v>
      </c>
      <c r="AX61" s="9" t="s">
        <v>727</v>
      </c>
      <c r="AY61" s="9" t="s">
        <v>727</v>
      </c>
      <c r="AZ61" s="9" t="s">
        <v>739</v>
      </c>
      <c r="BA61" s="9" t="s">
        <v>750</v>
      </c>
      <c r="BB61" s="9" t="s">
        <v>760</v>
      </c>
      <c r="BC61" s="9" t="s">
        <v>769</v>
      </c>
      <c r="BD61" s="9" t="s">
        <v>777</v>
      </c>
      <c r="BE61" s="9" t="s">
        <v>777</v>
      </c>
      <c r="BF61" s="9" t="s">
        <v>784</v>
      </c>
      <c r="BG61" s="9" t="n">
        <v>0</v>
      </c>
      <c r="BH61" s="9" t="n">
        <v>0</v>
      </c>
      <c r="BI61" s="9" t="n">
        <v>0</v>
      </c>
      <c r="BJ61" s="9" t="n">
        <v>0</v>
      </c>
      <c r="BK61" s="9" t="n">
        <v>0</v>
      </c>
      <c r="BL61" s="9" t="n">
        <v>0</v>
      </c>
      <c r="BM61" s="9" t="n">
        <v>0</v>
      </c>
      <c r="BN61" s="9" t="n">
        <v>0</v>
      </c>
      <c r="BO61" s="9" t="n">
        <v>0</v>
      </c>
      <c r="BP61" s="9" t="s">
        <v>376</v>
      </c>
      <c r="BQ61" s="9" t="s">
        <v>791</v>
      </c>
      <c r="BR61" s="9" t="s">
        <v>792</v>
      </c>
      <c r="BS61" s="9" t="s">
        <v>793</v>
      </c>
      <c r="BT61" s="9" t="s">
        <v>794</v>
      </c>
      <c r="BU61" s="9" t="s">
        <v>795</v>
      </c>
      <c r="BV61" s="9" t="s">
        <v>796</v>
      </c>
      <c r="BW61" s="9" t="s">
        <v>369</v>
      </c>
      <c r="BX61" s="9" t="s">
        <v>369</v>
      </c>
      <c r="BY61" s="9" t="s">
        <v>369</v>
      </c>
      <c r="BZ61" s="9" t="s">
        <v>369</v>
      </c>
      <c r="CA61" s="9" t="s">
        <v>369</v>
      </c>
      <c r="CB61" s="9" t="s">
        <v>369</v>
      </c>
      <c r="CC61" s="9" t="s">
        <v>369</v>
      </c>
      <c r="CD61" s="9" t="s">
        <v>369</v>
      </c>
      <c r="CE61" s="9" t="s">
        <v>369</v>
      </c>
      <c r="CF61" s="9" t="s">
        <v>369</v>
      </c>
      <c r="CG61" s="9" t="s">
        <v>369</v>
      </c>
      <c r="CH61" s="9" t="s">
        <v>369</v>
      </c>
      <c r="CI61" s="9" t="s">
        <v>369</v>
      </c>
      <c r="CJ61" s="9" t="s">
        <v>369</v>
      </c>
      <c r="CK61" s="9" t="s">
        <v>369</v>
      </c>
      <c r="CL61" s="9" t="s">
        <v>369</v>
      </c>
      <c r="CM61" s="9" t="s">
        <v>369</v>
      </c>
      <c r="CN61" s="9" t="s">
        <v>369</v>
      </c>
      <c r="CO61" s="9" t="s">
        <v>369</v>
      </c>
      <c r="CP61" s="9" t="s">
        <v>369</v>
      </c>
    </row>
    <row r="62" spans="1:94" ht="15.75" customHeight="1">
      <c r="A62" s="56" t="s">
        <v>116</v>
      </c>
      <c r="B62" s="9" t="s">
        <v>369</v>
      </c>
      <c r="C62" s="9" t="s">
        <v>399</v>
      </c>
      <c r="D62" s="9" t="s">
        <v>399</v>
      </c>
      <c r="E62" s="9" t="s">
        <v>399</v>
      </c>
      <c r="F62" s="9" t="s">
        <v>399</v>
      </c>
      <c r="G62" s="9" t="s">
        <v>399</v>
      </c>
      <c r="H62" s="9" t="s">
        <v>399</v>
      </c>
      <c r="I62" s="9" t="s">
        <v>399</v>
      </c>
      <c r="J62" s="9" t="s">
        <v>399</v>
      </c>
      <c r="K62" s="9" t="s">
        <v>399</v>
      </c>
      <c r="L62" s="9" t="s">
        <v>427</v>
      </c>
      <c r="M62" s="9" t="s">
        <v>454</v>
      </c>
      <c r="N62" s="9" t="s">
        <v>480</v>
      </c>
      <c r="O62" s="9" t="s">
        <v>480</v>
      </c>
      <c r="P62" s="9" t="s">
        <v>480</v>
      </c>
      <c r="Q62" s="9" t="s">
        <v>480</v>
      </c>
      <c r="R62" s="9" t="s">
        <v>480</v>
      </c>
      <c r="S62" s="9" t="s">
        <v>480</v>
      </c>
      <c r="T62" s="9" t="s">
        <v>480</v>
      </c>
      <c r="U62" s="9" t="s">
        <v>480</v>
      </c>
      <c r="V62" s="9" t="s">
        <v>480</v>
      </c>
      <c r="W62" s="9" t="s">
        <v>480</v>
      </c>
      <c r="X62" s="9" t="s">
        <v>480</v>
      </c>
      <c r="Y62" s="9" t="s">
        <v>480</v>
      </c>
      <c r="Z62" s="9" t="s">
        <v>480</v>
      </c>
      <c r="AA62" s="9" t="s">
        <v>480</v>
      </c>
      <c r="AB62" s="9" t="s">
        <v>480</v>
      </c>
      <c r="AC62" s="9" t="s">
        <v>505</v>
      </c>
      <c r="AD62" s="9" t="s">
        <v>529</v>
      </c>
      <c r="AE62" s="9" t="s">
        <v>552</v>
      </c>
      <c r="AF62" s="9" t="s">
        <v>552</v>
      </c>
      <c r="AG62" s="9" t="s">
        <v>552</v>
      </c>
      <c r="AH62" s="9" t="s">
        <v>552</v>
      </c>
      <c r="AI62" s="9" t="s">
        <v>552</v>
      </c>
      <c r="AJ62" s="9" t="s">
        <v>552</v>
      </c>
      <c r="AK62" s="9" t="s">
        <v>552</v>
      </c>
      <c r="AL62" s="9" t="s">
        <v>552</v>
      </c>
      <c r="AM62" s="9" t="s">
        <v>552</v>
      </c>
      <c r="AN62" s="9" t="s">
        <v>552</v>
      </c>
      <c r="AO62" s="9" t="s">
        <v>574</v>
      </c>
      <c r="AP62" s="9" t="s">
        <v>595</v>
      </c>
      <c r="AQ62" s="9" t="s">
        <v>615</v>
      </c>
      <c r="AR62" s="9" t="s">
        <v>634</v>
      </c>
      <c r="AS62" s="9" t="s">
        <v>652</v>
      </c>
      <c r="AT62" s="9" t="s">
        <v>669</v>
      </c>
      <c r="AU62" s="9" t="s">
        <v>685</v>
      </c>
      <c r="AV62" s="9" t="s">
        <v>700</v>
      </c>
      <c r="AW62" s="9" t="s">
        <v>714</v>
      </c>
      <c r="AX62" s="9" t="s">
        <v>727</v>
      </c>
      <c r="AY62" s="9" t="s">
        <v>727</v>
      </c>
      <c r="AZ62" s="9" t="s">
        <v>739</v>
      </c>
      <c r="BA62" s="9" t="s">
        <v>750</v>
      </c>
      <c r="BB62" s="9" t="s">
        <v>760</v>
      </c>
      <c r="BC62" s="9" t="s">
        <v>769</v>
      </c>
      <c r="BD62" s="9" t="s">
        <v>777</v>
      </c>
      <c r="BE62" s="9" t="s">
        <v>777</v>
      </c>
      <c r="BF62" s="9" t="s">
        <v>784</v>
      </c>
      <c r="BG62" s="9" t="n">
        <v>0</v>
      </c>
      <c r="BH62" s="9" t="n">
        <v>0</v>
      </c>
      <c r="BI62" s="9" t="n">
        <v>0</v>
      </c>
      <c r="BJ62" s="9" t="n">
        <v>0</v>
      </c>
      <c r="BK62" s="9" t="n">
        <v>0</v>
      </c>
      <c r="BL62" s="9" t="n">
        <v>0</v>
      </c>
      <c r="BM62" s="9" t="n">
        <v>0</v>
      </c>
      <c r="BN62" s="9" t="n">
        <v>0</v>
      </c>
      <c r="BO62" s="9" t="n">
        <v>0</v>
      </c>
      <c r="BP62" s="9" t="s">
        <v>376</v>
      </c>
      <c r="BQ62" s="9" t="s">
        <v>791</v>
      </c>
      <c r="BR62" s="9" t="s">
        <v>792</v>
      </c>
      <c r="BS62" s="9" t="s">
        <v>793</v>
      </c>
      <c r="BT62" s="9" t="s">
        <v>794</v>
      </c>
      <c r="BU62" s="9" t="s">
        <v>795</v>
      </c>
      <c r="BV62" s="9" t="s">
        <v>796</v>
      </c>
      <c r="BW62" s="9" t="s">
        <v>369</v>
      </c>
      <c r="BX62" s="9" t="s">
        <v>369</v>
      </c>
      <c r="BY62" s="9" t="s">
        <v>369</v>
      </c>
      <c r="BZ62" s="9" t="s">
        <v>369</v>
      </c>
      <c r="CA62" s="9" t="s">
        <v>369</v>
      </c>
      <c r="CB62" s="9" t="s">
        <v>369</v>
      </c>
      <c r="CC62" s="9" t="s">
        <v>369</v>
      </c>
      <c r="CD62" s="9" t="s">
        <v>369</v>
      </c>
      <c r="CE62" s="9" t="s">
        <v>369</v>
      </c>
      <c r="CF62" s="9" t="s">
        <v>369</v>
      </c>
      <c r="CG62" s="9" t="s">
        <v>369</v>
      </c>
      <c r="CH62" s="9" t="s">
        <v>369</v>
      </c>
      <c r="CI62" s="9" t="s">
        <v>369</v>
      </c>
      <c r="CJ62" s="9" t="s">
        <v>369</v>
      </c>
      <c r="CK62" s="9" t="s">
        <v>369</v>
      </c>
      <c r="CL62" s="9" t="s">
        <v>369</v>
      </c>
      <c r="CM62" s="9" t="s">
        <v>369</v>
      </c>
      <c r="CN62" s="9" t="s">
        <v>369</v>
      </c>
      <c r="CO62" s="9" t="s">
        <v>369</v>
      </c>
      <c r="CP62" s="9" t="s">
        <v>369</v>
      </c>
    </row>
    <row r="63" spans="1:94" ht="15.75" customHeight="1">
      <c r="A63" s="56" t="s">
        <v>111</v>
      </c>
      <c r="B63" s="9" t="s">
        <v>369</v>
      </c>
      <c r="C63" s="9" t="s">
        <v>399</v>
      </c>
      <c r="D63" s="9" t="s">
        <v>399</v>
      </c>
      <c r="E63" s="9" t="s">
        <v>399</v>
      </c>
      <c r="F63" s="9" t="s">
        <v>399</v>
      </c>
      <c r="G63" s="9" t="s">
        <v>399</v>
      </c>
      <c r="H63" s="9" t="s">
        <v>399</v>
      </c>
      <c r="I63" s="9" t="s">
        <v>399</v>
      </c>
      <c r="J63" s="9" t="s">
        <v>399</v>
      </c>
      <c r="K63" s="9" t="s">
        <v>399</v>
      </c>
      <c r="L63" s="9" t="s">
        <v>427</v>
      </c>
      <c r="M63" s="9" t="s">
        <v>454</v>
      </c>
      <c r="N63" s="9" t="s">
        <v>480</v>
      </c>
      <c r="O63" s="9" t="s">
        <v>480</v>
      </c>
      <c r="P63" s="9" t="s">
        <v>480</v>
      </c>
      <c r="Q63" s="9" t="s">
        <v>480</v>
      </c>
      <c r="R63" s="9" t="s">
        <v>480</v>
      </c>
      <c r="S63" s="9" t="s">
        <v>480</v>
      </c>
      <c r="T63" s="9" t="s">
        <v>480</v>
      </c>
      <c r="U63" s="9" t="s">
        <v>480</v>
      </c>
      <c r="V63" s="9" t="s">
        <v>480</v>
      </c>
      <c r="W63" s="9" t="s">
        <v>480</v>
      </c>
      <c r="X63" s="9" t="s">
        <v>480</v>
      </c>
      <c r="Y63" s="9" t="s">
        <v>480</v>
      </c>
      <c r="Z63" s="9" t="s">
        <v>480</v>
      </c>
      <c r="AA63" s="9" t="s">
        <v>480</v>
      </c>
      <c r="AB63" s="9" t="s">
        <v>480</v>
      </c>
      <c r="AC63" s="9" t="s">
        <v>505</v>
      </c>
      <c r="AD63" s="9" t="s">
        <v>529</v>
      </c>
      <c r="AE63" s="9" t="s">
        <v>552</v>
      </c>
      <c r="AF63" s="9" t="s">
        <v>552</v>
      </c>
      <c r="AG63" s="9" t="s">
        <v>552</v>
      </c>
      <c r="AH63" s="9" t="s">
        <v>552</v>
      </c>
      <c r="AI63" s="9" t="s">
        <v>552</v>
      </c>
      <c r="AJ63" s="9" t="s">
        <v>552</v>
      </c>
      <c r="AK63" s="9" t="s">
        <v>552</v>
      </c>
      <c r="AL63" s="9" t="s">
        <v>552</v>
      </c>
      <c r="AM63" s="9" t="s">
        <v>552</v>
      </c>
      <c r="AN63" s="9" t="s">
        <v>552</v>
      </c>
      <c r="AO63" s="9" t="s">
        <v>574</v>
      </c>
      <c r="AP63" s="9" t="s">
        <v>595</v>
      </c>
      <c r="AQ63" s="9" t="s">
        <v>615</v>
      </c>
      <c r="AR63" s="9" t="s">
        <v>634</v>
      </c>
      <c r="AS63" s="9" t="s">
        <v>652</v>
      </c>
      <c r="AT63" s="9" t="s">
        <v>669</v>
      </c>
      <c r="AU63" s="9" t="s">
        <v>685</v>
      </c>
      <c r="AV63" s="9" t="s">
        <v>700</v>
      </c>
      <c r="AW63" s="9" t="s">
        <v>714</v>
      </c>
      <c r="AX63" s="9" t="s">
        <v>727</v>
      </c>
      <c r="AY63" s="9" t="s">
        <v>727</v>
      </c>
      <c r="AZ63" s="9" t="s">
        <v>739</v>
      </c>
      <c r="BA63" s="9" t="s">
        <v>750</v>
      </c>
      <c r="BB63" s="9" t="s">
        <v>760</v>
      </c>
      <c r="BC63" s="9" t="s">
        <v>769</v>
      </c>
      <c r="BD63" s="9" t="s">
        <v>777</v>
      </c>
      <c r="BE63" s="9" t="s">
        <v>777</v>
      </c>
      <c r="BF63" s="9" t="s">
        <v>784</v>
      </c>
      <c r="BG63" s="9" t="n">
        <v>0</v>
      </c>
      <c r="BH63" s="9" t="n">
        <v>0</v>
      </c>
      <c r="BI63" s="9" t="n">
        <v>0</v>
      </c>
      <c r="BJ63" s="9" t="n">
        <v>0</v>
      </c>
      <c r="BK63" s="9" t="n">
        <v>0</v>
      </c>
      <c r="BL63" s="9" t="n">
        <v>0</v>
      </c>
      <c r="BM63" s="9" t="n">
        <v>0</v>
      </c>
      <c r="BN63" s="9" t="n">
        <v>0</v>
      </c>
      <c r="BO63" s="9" t="n">
        <v>0</v>
      </c>
      <c r="BP63" s="9" t="s">
        <v>376</v>
      </c>
      <c r="BQ63" s="9" t="s">
        <v>791</v>
      </c>
      <c r="BR63" s="9" t="s">
        <v>792</v>
      </c>
      <c r="BS63" s="9" t="s">
        <v>793</v>
      </c>
      <c r="BT63" s="9" t="s">
        <v>794</v>
      </c>
      <c r="BU63" s="9" t="s">
        <v>795</v>
      </c>
      <c r="BV63" s="9" t="s">
        <v>796</v>
      </c>
      <c r="BW63" s="9" t="s">
        <v>369</v>
      </c>
      <c r="BX63" s="9" t="s">
        <v>369</v>
      </c>
      <c r="BY63" s="9" t="s">
        <v>369</v>
      </c>
      <c r="BZ63" s="9" t="s">
        <v>369</v>
      </c>
      <c r="CA63" s="9" t="s">
        <v>369</v>
      </c>
      <c r="CB63" s="9" t="s">
        <v>369</v>
      </c>
      <c r="CC63" s="9" t="s">
        <v>369</v>
      </c>
      <c r="CD63" s="9" t="s">
        <v>369</v>
      </c>
      <c r="CE63" s="9" t="s">
        <v>369</v>
      </c>
      <c r="CF63" s="9" t="s">
        <v>369</v>
      </c>
      <c r="CG63" s="9" t="s">
        <v>369</v>
      </c>
      <c r="CH63" s="9" t="s">
        <v>369</v>
      </c>
      <c r="CI63" s="9" t="s">
        <v>369</v>
      </c>
      <c r="CJ63" s="9" t="s">
        <v>369</v>
      </c>
      <c r="CK63" s="9" t="s">
        <v>369</v>
      </c>
      <c r="CL63" s="9" t="s">
        <v>369</v>
      </c>
      <c r="CM63" s="9" t="s">
        <v>369</v>
      </c>
      <c r="CN63" s="9" t="s">
        <v>369</v>
      </c>
      <c r="CO63" s="9" t="s">
        <v>369</v>
      </c>
      <c r="CP63" s="9" t="s">
        <v>369</v>
      </c>
    </row>
    <row r="64" spans="1:94" ht="15.75" customHeight="1">
      <c r="A64" s="56" t="s">
        <v>118</v>
      </c>
      <c r="B64" s="9" t="s">
        <v>369</v>
      </c>
      <c r="C64" s="9" t="s">
        <v>399</v>
      </c>
      <c r="D64" s="9" t="s">
        <v>399</v>
      </c>
      <c r="E64" s="9" t="s">
        <v>399</v>
      </c>
      <c r="F64" s="9" t="s">
        <v>399</v>
      </c>
      <c r="G64" s="9" t="s">
        <v>399</v>
      </c>
      <c r="H64" s="9" t="s">
        <v>399</v>
      </c>
      <c r="I64" s="9" t="s">
        <v>399</v>
      </c>
      <c r="J64" s="9" t="s">
        <v>399</v>
      </c>
      <c r="K64" s="9" t="s">
        <v>399</v>
      </c>
      <c r="L64" s="9" t="s">
        <v>427</v>
      </c>
      <c r="M64" s="9" t="s">
        <v>454</v>
      </c>
      <c r="N64" s="9" t="s">
        <v>480</v>
      </c>
      <c r="O64" s="9" t="s">
        <v>480</v>
      </c>
      <c r="P64" s="9" t="s">
        <v>480</v>
      </c>
      <c r="Q64" s="9" t="s">
        <v>480</v>
      </c>
      <c r="R64" s="9" t="s">
        <v>480</v>
      </c>
      <c r="S64" s="9" t="s">
        <v>480</v>
      </c>
      <c r="T64" s="9" t="s">
        <v>480</v>
      </c>
      <c r="U64" s="9" t="s">
        <v>480</v>
      </c>
      <c r="V64" s="9" t="s">
        <v>480</v>
      </c>
      <c r="W64" s="9" t="s">
        <v>480</v>
      </c>
      <c r="X64" s="9" t="s">
        <v>480</v>
      </c>
      <c r="Y64" s="9" t="s">
        <v>480</v>
      </c>
      <c r="Z64" s="9" t="s">
        <v>480</v>
      </c>
      <c r="AA64" s="9" t="s">
        <v>480</v>
      </c>
      <c r="AB64" s="9" t="s">
        <v>480</v>
      </c>
      <c r="AC64" s="9" t="s">
        <v>505</v>
      </c>
      <c r="AD64" s="9" t="s">
        <v>529</v>
      </c>
      <c r="AE64" s="9" t="s">
        <v>552</v>
      </c>
      <c r="AF64" s="9" t="s">
        <v>552</v>
      </c>
      <c r="AG64" s="9" t="s">
        <v>552</v>
      </c>
      <c r="AH64" s="9" t="s">
        <v>552</v>
      </c>
      <c r="AI64" s="9" t="s">
        <v>552</v>
      </c>
      <c r="AJ64" s="9" t="s">
        <v>552</v>
      </c>
      <c r="AK64" s="9" t="s">
        <v>552</v>
      </c>
      <c r="AL64" s="9" t="s">
        <v>552</v>
      </c>
      <c r="AM64" s="9" t="s">
        <v>552</v>
      </c>
      <c r="AN64" s="9" t="s">
        <v>552</v>
      </c>
      <c r="AO64" s="9" t="s">
        <v>574</v>
      </c>
      <c r="AP64" s="9" t="s">
        <v>595</v>
      </c>
      <c r="AQ64" s="9" t="s">
        <v>615</v>
      </c>
      <c r="AR64" s="9" t="s">
        <v>634</v>
      </c>
      <c r="AS64" s="9" t="s">
        <v>652</v>
      </c>
      <c r="AT64" s="9" t="s">
        <v>669</v>
      </c>
      <c r="AU64" s="9" t="s">
        <v>685</v>
      </c>
      <c r="AV64" s="9" t="s">
        <v>700</v>
      </c>
      <c r="AW64" s="9" t="s">
        <v>714</v>
      </c>
      <c r="AX64" s="9" t="s">
        <v>727</v>
      </c>
      <c r="AY64" s="9" t="s">
        <v>727</v>
      </c>
      <c r="AZ64" s="9" t="s">
        <v>739</v>
      </c>
      <c r="BA64" s="9" t="s">
        <v>750</v>
      </c>
      <c r="BB64" s="9" t="s">
        <v>760</v>
      </c>
      <c r="BC64" s="9" t="s">
        <v>769</v>
      </c>
      <c r="BD64" s="9" t="s">
        <v>777</v>
      </c>
      <c r="BE64" s="9" t="s">
        <v>777</v>
      </c>
      <c r="BF64" s="9" t="s">
        <v>784</v>
      </c>
      <c r="BG64" s="9" t="n">
        <v>0</v>
      </c>
      <c r="BH64" s="9" t="n">
        <v>0</v>
      </c>
      <c r="BI64" s="9" t="n">
        <v>0</v>
      </c>
      <c r="BJ64" s="9" t="n">
        <v>0</v>
      </c>
      <c r="BK64" s="9" t="n">
        <v>0</v>
      </c>
      <c r="BL64" s="9" t="n">
        <v>0</v>
      </c>
      <c r="BM64" s="9" t="n">
        <v>0</v>
      </c>
      <c r="BN64" s="9" t="n">
        <v>0</v>
      </c>
      <c r="BO64" s="9" t="n">
        <v>0</v>
      </c>
      <c r="BP64" s="9" t="s">
        <v>376</v>
      </c>
      <c r="BQ64" s="9" t="s">
        <v>791</v>
      </c>
      <c r="BR64" s="9" t="s">
        <v>792</v>
      </c>
      <c r="BS64" s="9" t="s">
        <v>793</v>
      </c>
      <c r="BT64" s="9" t="s">
        <v>794</v>
      </c>
      <c r="BU64" s="9" t="s">
        <v>795</v>
      </c>
      <c r="BV64" s="9" t="s">
        <v>796</v>
      </c>
      <c r="BW64" s="9" t="s">
        <v>369</v>
      </c>
      <c r="BX64" s="9" t="s">
        <v>369</v>
      </c>
      <c r="BY64" s="9" t="s">
        <v>369</v>
      </c>
      <c r="BZ64" s="9" t="s">
        <v>369</v>
      </c>
      <c r="CA64" s="9" t="s">
        <v>369</v>
      </c>
      <c r="CB64" s="9" t="s">
        <v>369</v>
      </c>
      <c r="CC64" s="9" t="s">
        <v>369</v>
      </c>
      <c r="CD64" s="9" t="s">
        <v>369</v>
      </c>
      <c r="CE64" s="9" t="s">
        <v>369</v>
      </c>
      <c r="CF64" s="9" t="s">
        <v>369</v>
      </c>
      <c r="CG64" s="9" t="s">
        <v>369</v>
      </c>
      <c r="CH64" s="9" t="s">
        <v>369</v>
      </c>
      <c r="CI64" s="9" t="s">
        <v>369</v>
      </c>
      <c r="CJ64" s="9" t="s">
        <v>369</v>
      </c>
      <c r="CK64" s="9" t="s">
        <v>369</v>
      </c>
      <c r="CL64" s="9" t="s">
        <v>369</v>
      </c>
      <c r="CM64" s="9" t="s">
        <v>369</v>
      </c>
      <c r="CN64" s="9" t="s">
        <v>369</v>
      </c>
      <c r="CO64" s="9" t="s">
        <v>369</v>
      </c>
      <c r="CP64" s="9" t="s">
        <v>369</v>
      </c>
    </row>
    <row r="65" spans="1:94" ht="15.75" customHeight="1">
      <c r="A65" s="56" t="s">
        <v>104</v>
      </c>
      <c r="B65" s="9" t="s">
        <v>369</v>
      </c>
      <c r="C65" s="9" t="s">
        <v>399</v>
      </c>
      <c r="D65" s="9" t="s">
        <v>399</v>
      </c>
      <c r="E65" s="9" t="s">
        <v>399</v>
      </c>
      <c r="F65" s="9" t="s">
        <v>399</v>
      </c>
      <c r="G65" s="9" t="s">
        <v>399</v>
      </c>
      <c r="H65" s="9" t="s">
        <v>399</v>
      </c>
      <c r="I65" s="9" t="s">
        <v>399</v>
      </c>
      <c r="J65" s="9" t="s">
        <v>399</v>
      </c>
      <c r="K65" s="9" t="s">
        <v>399</v>
      </c>
      <c r="L65" s="9" t="s">
        <v>427</v>
      </c>
      <c r="M65" s="9" t="s">
        <v>454</v>
      </c>
      <c r="N65" s="9" t="s">
        <v>480</v>
      </c>
      <c r="O65" s="9" t="s">
        <v>480</v>
      </c>
      <c r="P65" s="9" t="s">
        <v>480</v>
      </c>
      <c r="Q65" s="9" t="s">
        <v>480</v>
      </c>
      <c r="R65" s="9" t="s">
        <v>480</v>
      </c>
      <c r="S65" s="9" t="s">
        <v>480</v>
      </c>
      <c r="T65" s="9" t="s">
        <v>480</v>
      </c>
      <c r="U65" s="9" t="s">
        <v>480</v>
      </c>
      <c r="V65" s="9" t="s">
        <v>480</v>
      </c>
      <c r="W65" s="9" t="s">
        <v>480</v>
      </c>
      <c r="X65" s="9" t="s">
        <v>480</v>
      </c>
      <c r="Y65" s="9" t="s">
        <v>480</v>
      </c>
      <c r="Z65" s="9" t="s">
        <v>480</v>
      </c>
      <c r="AA65" s="9" t="s">
        <v>480</v>
      </c>
      <c r="AB65" s="9" t="s">
        <v>480</v>
      </c>
      <c r="AC65" s="9" t="s">
        <v>505</v>
      </c>
      <c r="AD65" s="9" t="s">
        <v>529</v>
      </c>
      <c r="AE65" s="9" t="s">
        <v>552</v>
      </c>
      <c r="AF65" s="9" t="s">
        <v>552</v>
      </c>
      <c r="AG65" s="9" t="s">
        <v>552</v>
      </c>
      <c r="AH65" s="9" t="s">
        <v>552</v>
      </c>
      <c r="AI65" s="9" t="s">
        <v>552</v>
      </c>
      <c r="AJ65" s="9" t="s">
        <v>552</v>
      </c>
      <c r="AK65" s="9" t="s">
        <v>552</v>
      </c>
      <c r="AL65" s="9" t="s">
        <v>552</v>
      </c>
      <c r="AM65" s="9" t="s">
        <v>552</v>
      </c>
      <c r="AN65" s="9" t="s">
        <v>552</v>
      </c>
      <c r="AO65" s="9" t="s">
        <v>574</v>
      </c>
      <c r="AP65" s="9" t="s">
        <v>595</v>
      </c>
      <c r="AQ65" s="9" t="s">
        <v>615</v>
      </c>
      <c r="AR65" s="9" t="s">
        <v>634</v>
      </c>
      <c r="AS65" s="9" t="s">
        <v>652</v>
      </c>
      <c r="AT65" s="9" t="s">
        <v>669</v>
      </c>
      <c r="AU65" s="9" t="s">
        <v>685</v>
      </c>
      <c r="AV65" s="9" t="s">
        <v>700</v>
      </c>
      <c r="AW65" s="9" t="s">
        <v>714</v>
      </c>
      <c r="AX65" s="9" t="s">
        <v>727</v>
      </c>
      <c r="AY65" s="9" t="s">
        <v>727</v>
      </c>
      <c r="AZ65" s="9" t="s">
        <v>739</v>
      </c>
      <c r="BA65" s="9" t="s">
        <v>750</v>
      </c>
      <c r="BB65" s="9" t="s">
        <v>760</v>
      </c>
      <c r="BC65" s="9" t="s">
        <v>769</v>
      </c>
      <c r="BD65" s="9" t="s">
        <v>777</v>
      </c>
      <c r="BE65" s="9" t="s">
        <v>777</v>
      </c>
      <c r="BF65" s="9" t="s">
        <v>784</v>
      </c>
      <c r="BG65" s="9" t="n">
        <v>0</v>
      </c>
      <c r="BH65" s="9" t="n">
        <v>0</v>
      </c>
      <c r="BI65" s="9" t="n">
        <v>0</v>
      </c>
      <c r="BJ65" s="9" t="n">
        <v>0</v>
      </c>
      <c r="BK65" s="9" t="n">
        <v>0</v>
      </c>
      <c r="BL65" s="9" t="n">
        <v>0</v>
      </c>
      <c r="BM65" s="9" t="n">
        <v>0</v>
      </c>
      <c r="BN65" s="9" t="n">
        <v>0</v>
      </c>
      <c r="BO65" s="9" t="n">
        <v>0</v>
      </c>
      <c r="BP65" s="9" t="s">
        <v>376</v>
      </c>
      <c r="BQ65" s="9" t="s">
        <v>791</v>
      </c>
      <c r="BR65" s="9" t="s">
        <v>792</v>
      </c>
      <c r="BS65" s="9" t="s">
        <v>793</v>
      </c>
      <c r="BT65" s="9" t="s">
        <v>794</v>
      </c>
      <c r="BU65" s="9" t="s">
        <v>795</v>
      </c>
      <c r="BV65" s="9" t="s">
        <v>796</v>
      </c>
      <c r="BW65" s="9" t="s">
        <v>369</v>
      </c>
      <c r="BX65" s="9" t="s">
        <v>369</v>
      </c>
      <c r="BY65" s="9" t="s">
        <v>369</v>
      </c>
      <c r="BZ65" s="9" t="s">
        <v>369</v>
      </c>
      <c r="CA65" s="9" t="s">
        <v>369</v>
      </c>
      <c r="CB65" s="9" t="s">
        <v>369</v>
      </c>
      <c r="CC65" s="9" t="s">
        <v>369</v>
      </c>
      <c r="CD65" s="9" t="s">
        <v>369</v>
      </c>
      <c r="CE65" s="9" t="s">
        <v>369</v>
      </c>
      <c r="CF65" s="9" t="s">
        <v>369</v>
      </c>
      <c r="CG65" s="9" t="s">
        <v>369</v>
      </c>
      <c r="CH65" s="9" t="s">
        <v>369</v>
      </c>
      <c r="CI65" s="9" t="s">
        <v>369</v>
      </c>
      <c r="CJ65" s="9" t="s">
        <v>369</v>
      </c>
      <c r="CK65" s="9" t="s">
        <v>369</v>
      </c>
      <c r="CL65" s="9" t="s">
        <v>369</v>
      </c>
      <c r="CM65" s="9" t="s">
        <v>369</v>
      </c>
      <c r="CN65" s="9" t="s">
        <v>369</v>
      </c>
      <c r="CO65" s="9" t="s">
        <v>369</v>
      </c>
      <c r="CP65" s="9" t="s">
        <v>369</v>
      </c>
    </row>
    <row r="66" spans="1:94" ht="15.75" customHeight="1">
      <c r="A66" s="56" t="s">
        <v>96</v>
      </c>
      <c r="B66" s="9" t="s">
        <v>369</v>
      </c>
      <c r="C66" s="9" t="s">
        <v>399</v>
      </c>
      <c r="D66" s="9" t="s">
        <v>399</v>
      </c>
      <c r="E66" s="9" t="s">
        <v>399</v>
      </c>
      <c r="F66" s="9" t="s">
        <v>399</v>
      </c>
      <c r="G66" s="9" t="s">
        <v>399</v>
      </c>
      <c r="H66" s="9" t="s">
        <v>399</v>
      </c>
      <c r="I66" s="9" t="s">
        <v>399</v>
      </c>
      <c r="J66" s="9" t="s">
        <v>399</v>
      </c>
      <c r="K66" s="9" t="s">
        <v>399</v>
      </c>
      <c r="L66" s="9" t="s">
        <v>427</v>
      </c>
      <c r="M66" s="9" t="s">
        <v>454</v>
      </c>
      <c r="N66" s="9" t="s">
        <v>480</v>
      </c>
      <c r="O66" s="9" t="s">
        <v>480</v>
      </c>
      <c r="P66" s="9" t="s">
        <v>480</v>
      </c>
      <c r="Q66" s="9" t="s">
        <v>480</v>
      </c>
      <c r="R66" s="9" t="s">
        <v>480</v>
      </c>
      <c r="S66" s="9" t="s">
        <v>480</v>
      </c>
      <c r="T66" s="9" t="s">
        <v>480</v>
      </c>
      <c r="U66" s="9" t="s">
        <v>480</v>
      </c>
      <c r="V66" s="9" t="s">
        <v>480</v>
      </c>
      <c r="W66" s="9" t="s">
        <v>480</v>
      </c>
      <c r="X66" s="9" t="s">
        <v>480</v>
      </c>
      <c r="Y66" s="9" t="s">
        <v>480</v>
      </c>
      <c r="Z66" s="9" t="s">
        <v>480</v>
      </c>
      <c r="AA66" s="9" t="s">
        <v>480</v>
      </c>
      <c r="AB66" s="9" t="s">
        <v>480</v>
      </c>
      <c r="AC66" s="9" t="s">
        <v>505</v>
      </c>
      <c r="AD66" s="9" t="s">
        <v>529</v>
      </c>
      <c r="AE66" s="9" t="s">
        <v>552</v>
      </c>
      <c r="AF66" s="9" t="s">
        <v>552</v>
      </c>
      <c r="AG66" s="9" t="s">
        <v>552</v>
      </c>
      <c r="AH66" s="9" t="s">
        <v>552</v>
      </c>
      <c r="AI66" s="9" t="s">
        <v>552</v>
      </c>
      <c r="AJ66" s="9" t="s">
        <v>552</v>
      </c>
      <c r="AK66" s="9" t="s">
        <v>552</v>
      </c>
      <c r="AL66" s="9" t="s">
        <v>552</v>
      </c>
      <c r="AM66" s="9" t="s">
        <v>552</v>
      </c>
      <c r="AN66" s="9" t="s">
        <v>552</v>
      </c>
      <c r="AO66" s="9" t="s">
        <v>574</v>
      </c>
      <c r="AP66" s="9" t="s">
        <v>595</v>
      </c>
      <c r="AQ66" s="9" t="s">
        <v>615</v>
      </c>
      <c r="AR66" s="9" t="s">
        <v>634</v>
      </c>
      <c r="AS66" s="9" t="s">
        <v>652</v>
      </c>
      <c r="AT66" s="9" t="s">
        <v>669</v>
      </c>
      <c r="AU66" s="9" t="s">
        <v>685</v>
      </c>
      <c r="AV66" s="9" t="s">
        <v>700</v>
      </c>
      <c r="AW66" s="9" t="s">
        <v>714</v>
      </c>
      <c r="AX66" s="9" t="s">
        <v>727</v>
      </c>
      <c r="AY66" s="9" t="s">
        <v>727</v>
      </c>
      <c r="AZ66" s="9" t="s">
        <v>739</v>
      </c>
      <c r="BA66" s="9" t="s">
        <v>750</v>
      </c>
      <c r="BB66" s="9" t="s">
        <v>760</v>
      </c>
      <c r="BC66" s="9" t="s">
        <v>769</v>
      </c>
      <c r="BD66" s="9" t="s">
        <v>777</v>
      </c>
      <c r="BE66" s="9" t="s">
        <v>777</v>
      </c>
      <c r="BF66" s="9" t="s">
        <v>784</v>
      </c>
      <c r="BG66" s="9" t="n">
        <v>0</v>
      </c>
      <c r="BH66" s="9" t="n">
        <v>0</v>
      </c>
      <c r="BI66" s="9" t="n">
        <v>0</v>
      </c>
      <c r="BJ66" s="9" t="n">
        <v>0</v>
      </c>
      <c r="BK66" s="9" t="n">
        <v>0</v>
      </c>
      <c r="BL66" s="9" t="n">
        <v>0</v>
      </c>
      <c r="BM66" s="9" t="n">
        <v>0</v>
      </c>
      <c r="BN66" s="9" t="n">
        <v>0</v>
      </c>
      <c r="BO66" s="9" t="n">
        <v>0</v>
      </c>
      <c r="BP66" s="9" t="s">
        <v>376</v>
      </c>
      <c r="BQ66" s="9" t="s">
        <v>791</v>
      </c>
      <c r="BR66" s="9" t="s">
        <v>792</v>
      </c>
      <c r="BS66" s="9" t="s">
        <v>793</v>
      </c>
      <c r="BT66" s="9" t="s">
        <v>794</v>
      </c>
      <c r="BU66" s="9" t="s">
        <v>795</v>
      </c>
      <c r="BV66" s="9" t="s">
        <v>796</v>
      </c>
      <c r="BW66" s="9" t="s">
        <v>369</v>
      </c>
      <c r="BX66" s="9" t="s">
        <v>369</v>
      </c>
      <c r="BY66" s="9" t="s">
        <v>369</v>
      </c>
      <c r="BZ66" s="9" t="s">
        <v>369</v>
      </c>
      <c r="CA66" s="9" t="s">
        <v>369</v>
      </c>
      <c r="CB66" s="9" t="s">
        <v>369</v>
      </c>
      <c r="CC66" s="9" t="s">
        <v>369</v>
      </c>
      <c r="CD66" s="9" t="s">
        <v>369</v>
      </c>
      <c r="CE66" s="9" t="s">
        <v>369</v>
      </c>
      <c r="CF66" s="9" t="s">
        <v>369</v>
      </c>
      <c r="CG66" s="9" t="s">
        <v>369</v>
      </c>
      <c r="CH66" s="9" t="s">
        <v>369</v>
      </c>
      <c r="CI66" s="9" t="s">
        <v>369</v>
      </c>
      <c r="CJ66" s="9" t="s">
        <v>369</v>
      </c>
      <c r="CK66" s="9" t="s">
        <v>369</v>
      </c>
      <c r="CL66" s="9" t="s">
        <v>369</v>
      </c>
      <c r="CM66" s="9" t="s">
        <v>369</v>
      </c>
      <c r="CN66" s="9" t="s">
        <v>369</v>
      </c>
      <c r="CO66" s="9" t="s">
        <v>369</v>
      </c>
      <c r="CP66" s="9" t="s">
        <v>369</v>
      </c>
    </row>
    <row r="67" spans="1:94" ht="15.75" customHeight="1">
      <c r="A67" s="56" t="s">
        <v>98</v>
      </c>
      <c r="B67" s="9" t="s">
        <v>369</v>
      </c>
      <c r="C67" s="9" t="s">
        <v>399</v>
      </c>
      <c r="D67" s="9" t="s">
        <v>399</v>
      </c>
      <c r="E67" s="9" t="s">
        <v>399</v>
      </c>
      <c r="F67" s="9" t="s">
        <v>399</v>
      </c>
      <c r="G67" s="9" t="s">
        <v>399</v>
      </c>
      <c r="H67" s="9" t="s">
        <v>399</v>
      </c>
      <c r="I67" s="9" t="s">
        <v>399</v>
      </c>
      <c r="J67" s="9" t="s">
        <v>399</v>
      </c>
      <c r="K67" s="9" t="s">
        <v>399</v>
      </c>
      <c r="L67" s="9" t="s">
        <v>427</v>
      </c>
      <c r="M67" s="9" t="s">
        <v>454</v>
      </c>
      <c r="N67" s="9" t="s">
        <v>480</v>
      </c>
      <c r="O67" s="9" t="s">
        <v>480</v>
      </c>
      <c r="P67" s="9" t="s">
        <v>480</v>
      </c>
      <c r="Q67" s="9" t="s">
        <v>480</v>
      </c>
      <c r="R67" s="9" t="s">
        <v>480</v>
      </c>
      <c r="S67" s="9" t="s">
        <v>480</v>
      </c>
      <c r="T67" s="9" t="s">
        <v>480</v>
      </c>
      <c r="U67" s="9" t="s">
        <v>480</v>
      </c>
      <c r="V67" s="9" t="s">
        <v>480</v>
      </c>
      <c r="W67" s="9" t="s">
        <v>480</v>
      </c>
      <c r="X67" s="9" t="s">
        <v>480</v>
      </c>
      <c r="Y67" s="9" t="s">
        <v>480</v>
      </c>
      <c r="Z67" s="9" t="s">
        <v>480</v>
      </c>
      <c r="AA67" s="9" t="s">
        <v>480</v>
      </c>
      <c r="AB67" s="9" t="s">
        <v>480</v>
      </c>
      <c r="AC67" s="9" t="s">
        <v>505</v>
      </c>
      <c r="AD67" s="9" t="s">
        <v>529</v>
      </c>
      <c r="AE67" s="9" t="s">
        <v>552</v>
      </c>
      <c r="AF67" s="9" t="s">
        <v>552</v>
      </c>
      <c r="AG67" s="9" t="s">
        <v>552</v>
      </c>
      <c r="AH67" s="9" t="s">
        <v>552</v>
      </c>
      <c r="AI67" s="9" t="s">
        <v>552</v>
      </c>
      <c r="AJ67" s="9" t="s">
        <v>552</v>
      </c>
      <c r="AK67" s="9" t="s">
        <v>552</v>
      </c>
      <c r="AL67" s="9" t="s">
        <v>552</v>
      </c>
      <c r="AM67" s="9" t="s">
        <v>552</v>
      </c>
      <c r="AN67" s="9" t="s">
        <v>552</v>
      </c>
      <c r="AO67" s="9" t="s">
        <v>574</v>
      </c>
      <c r="AP67" s="9" t="s">
        <v>595</v>
      </c>
      <c r="AQ67" s="9" t="s">
        <v>615</v>
      </c>
      <c r="AR67" s="9" t="s">
        <v>634</v>
      </c>
      <c r="AS67" s="9" t="s">
        <v>652</v>
      </c>
      <c r="AT67" s="9" t="s">
        <v>669</v>
      </c>
      <c r="AU67" s="9" t="s">
        <v>685</v>
      </c>
      <c r="AV67" s="9" t="s">
        <v>700</v>
      </c>
      <c r="AW67" s="9" t="s">
        <v>714</v>
      </c>
      <c r="AX67" s="9" t="s">
        <v>727</v>
      </c>
      <c r="AY67" s="9" t="s">
        <v>727</v>
      </c>
      <c r="AZ67" s="9" t="s">
        <v>739</v>
      </c>
      <c r="BA67" s="9" t="s">
        <v>750</v>
      </c>
      <c r="BB67" s="9" t="s">
        <v>760</v>
      </c>
      <c r="BC67" s="9" t="s">
        <v>769</v>
      </c>
      <c r="BD67" s="9" t="s">
        <v>777</v>
      </c>
      <c r="BE67" s="9" t="s">
        <v>777</v>
      </c>
      <c r="BF67" s="9" t="s">
        <v>784</v>
      </c>
      <c r="BG67" s="9" t="n">
        <v>0</v>
      </c>
      <c r="BH67" s="9" t="n">
        <v>0</v>
      </c>
      <c r="BI67" s="9" t="n">
        <v>0</v>
      </c>
      <c r="BJ67" s="9" t="n">
        <v>0</v>
      </c>
      <c r="BK67" s="9" t="n">
        <v>0</v>
      </c>
      <c r="BL67" s="9" t="n">
        <v>0</v>
      </c>
      <c r="BM67" s="9" t="n">
        <v>0</v>
      </c>
      <c r="BN67" s="9" t="n">
        <v>0</v>
      </c>
      <c r="BO67" s="9" t="n">
        <v>0</v>
      </c>
      <c r="BP67" s="9" t="s">
        <v>376</v>
      </c>
      <c r="BQ67" s="9" t="s">
        <v>791</v>
      </c>
      <c r="BR67" s="9" t="s">
        <v>792</v>
      </c>
      <c r="BS67" s="9" t="s">
        <v>793</v>
      </c>
      <c r="BT67" s="9" t="s">
        <v>794</v>
      </c>
      <c r="BU67" s="9" t="s">
        <v>795</v>
      </c>
      <c r="BV67" s="9" t="s">
        <v>796</v>
      </c>
      <c r="BW67" s="9" t="s">
        <v>369</v>
      </c>
      <c r="BX67" s="9" t="s">
        <v>369</v>
      </c>
      <c r="BY67" s="9" t="s">
        <v>369</v>
      </c>
      <c r="BZ67" s="9" t="s">
        <v>369</v>
      </c>
      <c r="CA67" s="9" t="s">
        <v>369</v>
      </c>
      <c r="CB67" s="9" t="s">
        <v>369</v>
      </c>
      <c r="CC67" s="9" t="s">
        <v>369</v>
      </c>
      <c r="CD67" s="9" t="s">
        <v>369</v>
      </c>
      <c r="CE67" s="9" t="s">
        <v>369</v>
      </c>
      <c r="CF67" s="9" t="s">
        <v>369</v>
      </c>
      <c r="CG67" s="9" t="s">
        <v>369</v>
      </c>
      <c r="CH67" s="9" t="s">
        <v>369</v>
      </c>
      <c r="CI67" s="9" t="s">
        <v>369</v>
      </c>
      <c r="CJ67" s="9" t="s">
        <v>369</v>
      </c>
      <c r="CK67" s="9" t="s">
        <v>369</v>
      </c>
      <c r="CL67" s="9" t="s">
        <v>369</v>
      </c>
      <c r="CM67" s="9" t="s">
        <v>369</v>
      </c>
      <c r="CN67" s="9" t="s">
        <v>369</v>
      </c>
      <c r="CO67" s="9" t="s">
        <v>369</v>
      </c>
      <c r="CP67" s="9" t="s">
        <v>369</v>
      </c>
    </row>
    <row r="68" spans="1:94" ht="15.75" customHeight="1">
      <c r="A68" s="56" t="s">
        <v>94</v>
      </c>
      <c r="B68" s="9" t="s">
        <v>369</v>
      </c>
      <c r="C68" s="9" t="s">
        <v>399</v>
      </c>
      <c r="D68" s="9" t="s">
        <v>399</v>
      </c>
      <c r="E68" s="9" t="s">
        <v>399</v>
      </c>
      <c r="F68" s="9" t="s">
        <v>399</v>
      </c>
      <c r="G68" s="9" t="s">
        <v>399</v>
      </c>
      <c r="H68" s="9" t="s">
        <v>399</v>
      </c>
      <c r="I68" s="9" t="s">
        <v>399</v>
      </c>
      <c r="J68" s="9" t="s">
        <v>399</v>
      </c>
      <c r="K68" s="9" t="s">
        <v>399</v>
      </c>
      <c r="L68" s="9" t="s">
        <v>427</v>
      </c>
      <c r="M68" s="9" t="s">
        <v>454</v>
      </c>
      <c r="N68" s="9" t="s">
        <v>480</v>
      </c>
      <c r="O68" s="9" t="s">
        <v>480</v>
      </c>
      <c r="P68" s="9" t="s">
        <v>480</v>
      </c>
      <c r="Q68" s="9" t="s">
        <v>480</v>
      </c>
      <c r="R68" s="9" t="s">
        <v>480</v>
      </c>
      <c r="S68" s="9" t="s">
        <v>480</v>
      </c>
      <c r="T68" s="9" t="s">
        <v>480</v>
      </c>
      <c r="U68" s="9" t="s">
        <v>480</v>
      </c>
      <c r="V68" s="9" t="s">
        <v>480</v>
      </c>
      <c r="W68" s="9" t="s">
        <v>480</v>
      </c>
      <c r="X68" s="9" t="s">
        <v>480</v>
      </c>
      <c r="Y68" s="9" t="s">
        <v>480</v>
      </c>
      <c r="Z68" s="9" t="s">
        <v>480</v>
      </c>
      <c r="AA68" s="9" t="s">
        <v>480</v>
      </c>
      <c r="AB68" s="9" t="s">
        <v>480</v>
      </c>
      <c r="AC68" s="9" t="s">
        <v>505</v>
      </c>
      <c r="AD68" s="9" t="s">
        <v>529</v>
      </c>
      <c r="AE68" s="9" t="s">
        <v>552</v>
      </c>
      <c r="AF68" s="9" t="s">
        <v>552</v>
      </c>
      <c r="AG68" s="9" t="s">
        <v>552</v>
      </c>
      <c r="AH68" s="9" t="s">
        <v>552</v>
      </c>
      <c r="AI68" s="9" t="s">
        <v>552</v>
      </c>
      <c r="AJ68" s="9" t="s">
        <v>552</v>
      </c>
      <c r="AK68" s="9" t="s">
        <v>552</v>
      </c>
      <c r="AL68" s="9" t="s">
        <v>552</v>
      </c>
      <c r="AM68" s="9" t="s">
        <v>552</v>
      </c>
      <c r="AN68" s="9" t="s">
        <v>552</v>
      </c>
      <c r="AO68" s="9" t="s">
        <v>574</v>
      </c>
      <c r="AP68" s="9" t="s">
        <v>595</v>
      </c>
      <c r="AQ68" s="9" t="s">
        <v>615</v>
      </c>
      <c r="AR68" s="9" t="s">
        <v>634</v>
      </c>
      <c r="AS68" s="9" t="s">
        <v>652</v>
      </c>
      <c r="AT68" s="9" t="s">
        <v>669</v>
      </c>
      <c r="AU68" s="9" t="s">
        <v>685</v>
      </c>
      <c r="AV68" s="9" t="s">
        <v>700</v>
      </c>
      <c r="AW68" s="9" t="s">
        <v>714</v>
      </c>
      <c r="AX68" s="9" t="s">
        <v>727</v>
      </c>
      <c r="AY68" s="9" t="s">
        <v>727</v>
      </c>
      <c r="AZ68" s="9" t="s">
        <v>739</v>
      </c>
      <c r="BA68" s="9" t="s">
        <v>750</v>
      </c>
      <c r="BB68" s="9" t="s">
        <v>760</v>
      </c>
      <c r="BC68" s="9" t="s">
        <v>769</v>
      </c>
      <c r="BD68" s="9" t="s">
        <v>777</v>
      </c>
      <c r="BE68" s="9" t="s">
        <v>777</v>
      </c>
      <c r="BF68" s="9" t="s">
        <v>784</v>
      </c>
      <c r="BG68" s="9" t="n">
        <v>0</v>
      </c>
      <c r="BH68" s="9" t="n">
        <v>0</v>
      </c>
      <c r="BI68" s="9" t="n">
        <v>0</v>
      </c>
      <c r="BJ68" s="9" t="n">
        <v>0</v>
      </c>
      <c r="BK68" s="9" t="n">
        <v>0</v>
      </c>
      <c r="BL68" s="9" t="n">
        <v>0</v>
      </c>
      <c r="BM68" s="9" t="n">
        <v>0</v>
      </c>
      <c r="BN68" s="9" t="n">
        <v>0</v>
      </c>
      <c r="BO68" s="9" t="n">
        <v>0</v>
      </c>
      <c r="BP68" s="9" t="s">
        <v>376</v>
      </c>
      <c r="BQ68" s="9" t="s">
        <v>791</v>
      </c>
      <c r="BR68" s="9" t="s">
        <v>792</v>
      </c>
      <c r="BS68" s="9" t="s">
        <v>793</v>
      </c>
      <c r="BT68" s="9" t="s">
        <v>794</v>
      </c>
      <c r="BU68" s="9" t="s">
        <v>795</v>
      </c>
      <c r="BV68" s="9" t="s">
        <v>796</v>
      </c>
      <c r="BW68" s="9" t="s">
        <v>369</v>
      </c>
      <c r="BX68" s="9" t="s">
        <v>369</v>
      </c>
      <c r="BY68" s="9" t="s">
        <v>369</v>
      </c>
      <c r="BZ68" s="9" t="s">
        <v>369</v>
      </c>
      <c r="CA68" s="9" t="s">
        <v>369</v>
      </c>
      <c r="CB68" s="9" t="s">
        <v>369</v>
      </c>
      <c r="CC68" s="9" t="s">
        <v>369</v>
      </c>
      <c r="CD68" s="9" t="s">
        <v>369</v>
      </c>
      <c r="CE68" s="9" t="s">
        <v>369</v>
      </c>
      <c r="CF68" s="9" t="s">
        <v>369</v>
      </c>
      <c r="CG68" s="9" t="s">
        <v>369</v>
      </c>
      <c r="CH68" s="9" t="s">
        <v>369</v>
      </c>
      <c r="CI68" s="9" t="s">
        <v>369</v>
      </c>
      <c r="CJ68" s="9" t="s">
        <v>369</v>
      </c>
      <c r="CK68" s="9" t="s">
        <v>369</v>
      </c>
      <c r="CL68" s="9" t="s">
        <v>369</v>
      </c>
      <c r="CM68" s="9" t="s">
        <v>369</v>
      </c>
      <c r="CN68" s="9" t="s">
        <v>369</v>
      </c>
      <c r="CO68" s="9" t="s">
        <v>369</v>
      </c>
      <c r="CP68" s="9" t="s">
        <v>369</v>
      </c>
    </row>
    <row r="69" spans="1:94" ht="15.75" customHeight="1">
      <c r="A69" s="56" t="s">
        <v>88</v>
      </c>
      <c r="B69" s="9" t="s">
        <v>369</v>
      </c>
      <c r="C69" s="9" t="s">
        <v>399</v>
      </c>
      <c r="D69" s="9" t="s">
        <v>399</v>
      </c>
      <c r="E69" s="9" t="s">
        <v>399</v>
      </c>
      <c r="F69" s="9" t="s">
        <v>399</v>
      </c>
      <c r="G69" s="9" t="s">
        <v>399</v>
      </c>
      <c r="H69" s="9" t="s">
        <v>399</v>
      </c>
      <c r="I69" s="9" t="s">
        <v>399</v>
      </c>
      <c r="J69" s="9" t="s">
        <v>399</v>
      </c>
      <c r="K69" s="9" t="s">
        <v>399</v>
      </c>
      <c r="L69" s="9" t="s">
        <v>427</v>
      </c>
      <c r="M69" s="9" t="s">
        <v>454</v>
      </c>
      <c r="N69" s="9" t="s">
        <v>480</v>
      </c>
      <c r="O69" s="9" t="s">
        <v>480</v>
      </c>
      <c r="P69" s="9" t="s">
        <v>480</v>
      </c>
      <c r="Q69" s="9" t="s">
        <v>480</v>
      </c>
      <c r="R69" s="9" t="s">
        <v>480</v>
      </c>
      <c r="S69" s="9" t="s">
        <v>480</v>
      </c>
      <c r="T69" s="9" t="s">
        <v>480</v>
      </c>
      <c r="U69" s="9" t="s">
        <v>480</v>
      </c>
      <c r="V69" s="9" t="s">
        <v>480</v>
      </c>
      <c r="W69" s="9" t="s">
        <v>480</v>
      </c>
      <c r="X69" s="9" t="s">
        <v>480</v>
      </c>
      <c r="Y69" s="9" t="s">
        <v>480</v>
      </c>
      <c r="Z69" s="9" t="s">
        <v>480</v>
      </c>
      <c r="AA69" s="9" t="s">
        <v>480</v>
      </c>
      <c r="AB69" s="9" t="s">
        <v>480</v>
      </c>
      <c r="AC69" s="9" t="s">
        <v>505</v>
      </c>
      <c r="AD69" s="9" t="s">
        <v>529</v>
      </c>
      <c r="AE69" s="9" t="s">
        <v>552</v>
      </c>
      <c r="AF69" s="9" t="s">
        <v>552</v>
      </c>
      <c r="AG69" s="9" t="s">
        <v>552</v>
      </c>
      <c r="AH69" s="9" t="s">
        <v>552</v>
      </c>
      <c r="AI69" s="9" t="s">
        <v>552</v>
      </c>
      <c r="AJ69" s="9" t="s">
        <v>552</v>
      </c>
      <c r="AK69" s="9" t="s">
        <v>552</v>
      </c>
      <c r="AL69" s="9" t="s">
        <v>552</v>
      </c>
      <c r="AM69" s="9" t="s">
        <v>552</v>
      </c>
      <c r="AN69" s="9" t="s">
        <v>552</v>
      </c>
      <c r="AO69" s="9" t="s">
        <v>574</v>
      </c>
      <c r="AP69" s="9" t="s">
        <v>595</v>
      </c>
      <c r="AQ69" s="9" t="s">
        <v>615</v>
      </c>
      <c r="AR69" s="9" t="s">
        <v>634</v>
      </c>
      <c r="AS69" s="9" t="s">
        <v>652</v>
      </c>
      <c r="AT69" s="9" t="s">
        <v>669</v>
      </c>
      <c r="AU69" s="9" t="s">
        <v>685</v>
      </c>
      <c r="AV69" s="9" t="s">
        <v>700</v>
      </c>
      <c r="AW69" s="9" t="s">
        <v>714</v>
      </c>
      <c r="AX69" s="9" t="s">
        <v>727</v>
      </c>
      <c r="AY69" s="9" t="s">
        <v>727</v>
      </c>
      <c r="AZ69" s="9" t="s">
        <v>739</v>
      </c>
      <c r="BA69" s="9" t="s">
        <v>750</v>
      </c>
      <c r="BB69" s="9" t="s">
        <v>760</v>
      </c>
      <c r="BC69" s="9" t="s">
        <v>769</v>
      </c>
      <c r="BD69" s="9" t="s">
        <v>777</v>
      </c>
      <c r="BE69" s="9" t="s">
        <v>777</v>
      </c>
      <c r="BF69" s="9" t="s">
        <v>784</v>
      </c>
      <c r="BG69" s="9" t="n">
        <v>0</v>
      </c>
      <c r="BH69" s="9" t="n">
        <v>0</v>
      </c>
      <c r="BI69" s="9" t="n">
        <v>0</v>
      </c>
      <c r="BJ69" s="9" t="n">
        <v>0</v>
      </c>
      <c r="BK69" s="9" t="n">
        <v>0</v>
      </c>
      <c r="BL69" s="9" t="n">
        <v>0</v>
      </c>
      <c r="BM69" s="9" t="n">
        <v>0</v>
      </c>
      <c r="BN69" s="9" t="n">
        <v>0</v>
      </c>
      <c r="BO69" s="9" t="n">
        <v>0</v>
      </c>
      <c r="BP69" s="9" t="s">
        <v>376</v>
      </c>
      <c r="BQ69" s="9" t="s">
        <v>791</v>
      </c>
      <c r="BR69" s="9" t="s">
        <v>792</v>
      </c>
      <c r="BS69" s="9" t="s">
        <v>793</v>
      </c>
      <c r="BT69" s="9" t="s">
        <v>794</v>
      </c>
      <c r="BU69" s="9" t="s">
        <v>795</v>
      </c>
      <c r="BV69" s="9" t="s">
        <v>796</v>
      </c>
      <c r="BW69" s="9" t="s">
        <v>369</v>
      </c>
      <c r="BX69" s="9" t="s">
        <v>369</v>
      </c>
      <c r="BY69" s="9" t="s">
        <v>369</v>
      </c>
      <c r="BZ69" s="9" t="s">
        <v>369</v>
      </c>
      <c r="CA69" s="9" t="s">
        <v>369</v>
      </c>
      <c r="CB69" s="9" t="s">
        <v>369</v>
      </c>
      <c r="CC69" s="9" t="s">
        <v>369</v>
      </c>
      <c r="CD69" s="9" t="s">
        <v>369</v>
      </c>
      <c r="CE69" s="9" t="s">
        <v>369</v>
      </c>
      <c r="CF69" s="9" t="s">
        <v>369</v>
      </c>
      <c r="CG69" s="9" t="s">
        <v>369</v>
      </c>
      <c r="CH69" s="9" t="s">
        <v>369</v>
      </c>
      <c r="CI69" s="9" t="s">
        <v>369</v>
      </c>
      <c r="CJ69" s="9" t="s">
        <v>369</v>
      </c>
      <c r="CK69" s="9" t="s">
        <v>369</v>
      </c>
      <c r="CL69" s="9" t="s">
        <v>369</v>
      </c>
      <c r="CM69" s="9" t="s">
        <v>369</v>
      </c>
      <c r="CN69" s="9" t="s">
        <v>369</v>
      </c>
      <c r="CO69" s="9" t="s">
        <v>369</v>
      </c>
      <c r="CP69" s="9" t="s">
        <v>369</v>
      </c>
    </row>
    <row r="70" spans="1:94" ht="15.75" customHeight="1">
      <c r="A70" s="56" t="s">
        <v>78</v>
      </c>
      <c r="B70" s="9" t="s">
        <v>369</v>
      </c>
      <c r="C70" s="9" t="s">
        <v>399</v>
      </c>
      <c r="D70" s="9" t="s">
        <v>399</v>
      </c>
      <c r="E70" s="9" t="s">
        <v>399</v>
      </c>
      <c r="F70" s="9" t="s">
        <v>399</v>
      </c>
      <c r="G70" s="9" t="s">
        <v>399</v>
      </c>
      <c r="H70" s="9" t="s">
        <v>399</v>
      </c>
      <c r="I70" s="9" t="s">
        <v>399</v>
      </c>
      <c r="J70" s="9" t="s">
        <v>399</v>
      </c>
      <c r="K70" s="9" t="s">
        <v>399</v>
      </c>
      <c r="L70" s="9" t="s">
        <v>427</v>
      </c>
      <c r="M70" s="9" t="s">
        <v>454</v>
      </c>
      <c r="N70" s="9" t="s">
        <v>480</v>
      </c>
      <c r="O70" s="9" t="s">
        <v>480</v>
      </c>
      <c r="P70" s="9" t="s">
        <v>480</v>
      </c>
      <c r="Q70" s="9" t="s">
        <v>480</v>
      </c>
      <c r="R70" s="9" t="s">
        <v>480</v>
      </c>
      <c r="S70" s="9" t="s">
        <v>480</v>
      </c>
      <c r="T70" s="9" t="s">
        <v>480</v>
      </c>
      <c r="U70" s="9" t="s">
        <v>480</v>
      </c>
      <c r="V70" s="9" t="s">
        <v>480</v>
      </c>
      <c r="W70" s="9" t="s">
        <v>480</v>
      </c>
      <c r="X70" s="9" t="s">
        <v>480</v>
      </c>
      <c r="Y70" s="9" t="s">
        <v>480</v>
      </c>
      <c r="Z70" s="9" t="s">
        <v>480</v>
      </c>
      <c r="AA70" s="9" t="s">
        <v>480</v>
      </c>
      <c r="AB70" s="9" t="s">
        <v>480</v>
      </c>
      <c r="AC70" s="9" t="s">
        <v>505</v>
      </c>
      <c r="AD70" s="9" t="s">
        <v>529</v>
      </c>
      <c r="AE70" s="9" t="s">
        <v>552</v>
      </c>
      <c r="AF70" s="9" t="s">
        <v>552</v>
      </c>
      <c r="AG70" s="9" t="s">
        <v>552</v>
      </c>
      <c r="AH70" s="9" t="s">
        <v>552</v>
      </c>
      <c r="AI70" s="9" t="s">
        <v>552</v>
      </c>
      <c r="AJ70" s="9" t="s">
        <v>552</v>
      </c>
      <c r="AK70" s="9" t="s">
        <v>552</v>
      </c>
      <c r="AL70" s="9" t="s">
        <v>552</v>
      </c>
      <c r="AM70" s="9" t="s">
        <v>552</v>
      </c>
      <c r="AN70" s="9" t="s">
        <v>552</v>
      </c>
      <c r="AO70" s="9" t="s">
        <v>574</v>
      </c>
      <c r="AP70" s="9" t="s">
        <v>595</v>
      </c>
      <c r="AQ70" s="9" t="s">
        <v>615</v>
      </c>
      <c r="AR70" s="9" t="s">
        <v>634</v>
      </c>
      <c r="AS70" s="9" t="s">
        <v>652</v>
      </c>
      <c r="AT70" s="9" t="s">
        <v>669</v>
      </c>
      <c r="AU70" s="9" t="s">
        <v>685</v>
      </c>
      <c r="AV70" s="9" t="s">
        <v>700</v>
      </c>
      <c r="AW70" s="9" t="s">
        <v>714</v>
      </c>
      <c r="AX70" s="9" t="s">
        <v>727</v>
      </c>
      <c r="AY70" s="9" t="s">
        <v>727</v>
      </c>
      <c r="AZ70" s="9" t="s">
        <v>739</v>
      </c>
      <c r="BA70" s="9" t="s">
        <v>750</v>
      </c>
      <c r="BB70" s="9" t="s">
        <v>760</v>
      </c>
      <c r="BC70" s="9" t="s">
        <v>769</v>
      </c>
      <c r="BD70" s="9" t="s">
        <v>777</v>
      </c>
      <c r="BE70" s="9" t="s">
        <v>777</v>
      </c>
      <c r="BF70" s="9" t="s">
        <v>784</v>
      </c>
      <c r="BG70" s="9" t="s">
        <v>376</v>
      </c>
      <c r="BH70" s="9" t="s">
        <v>376</v>
      </c>
      <c r="BI70" s="9" t="s">
        <v>376</v>
      </c>
      <c r="BJ70" s="9" t="s">
        <v>376</v>
      </c>
      <c r="BK70" s="9" t="s">
        <v>376</v>
      </c>
      <c r="BL70" s="9" t="s">
        <v>376</v>
      </c>
      <c r="BM70" s="9" t="s">
        <v>376</v>
      </c>
      <c r="BN70" s="9" t="s">
        <v>376</v>
      </c>
      <c r="BO70" s="9" t="s">
        <v>376</v>
      </c>
      <c r="BP70" s="9" t="n">
        <v>0</v>
      </c>
      <c r="BQ70" s="9" t="s">
        <v>791</v>
      </c>
      <c r="BR70" s="9" t="s">
        <v>792</v>
      </c>
      <c r="BS70" s="9" t="s">
        <v>793</v>
      </c>
      <c r="BT70" s="9" t="s">
        <v>794</v>
      </c>
      <c r="BU70" s="9" t="s">
        <v>795</v>
      </c>
      <c r="BV70" s="9" t="s">
        <v>796</v>
      </c>
      <c r="BW70" s="9" t="s">
        <v>369</v>
      </c>
      <c r="BX70" s="9" t="s">
        <v>369</v>
      </c>
      <c r="BY70" s="9" t="s">
        <v>369</v>
      </c>
      <c r="BZ70" s="9" t="s">
        <v>369</v>
      </c>
      <c r="CA70" s="9" t="s">
        <v>369</v>
      </c>
      <c r="CB70" s="9" t="s">
        <v>369</v>
      </c>
      <c r="CC70" s="9" t="s">
        <v>369</v>
      </c>
      <c r="CD70" s="9" t="s">
        <v>369</v>
      </c>
      <c r="CE70" s="9" t="s">
        <v>369</v>
      </c>
      <c r="CF70" s="9" t="s">
        <v>369</v>
      </c>
      <c r="CG70" s="9" t="s">
        <v>369</v>
      </c>
      <c r="CH70" s="9" t="s">
        <v>369</v>
      </c>
      <c r="CI70" s="9" t="s">
        <v>369</v>
      </c>
      <c r="CJ70" s="9" t="s">
        <v>369</v>
      </c>
      <c r="CK70" s="9" t="s">
        <v>369</v>
      </c>
      <c r="CL70" s="9" t="s">
        <v>369</v>
      </c>
      <c r="CM70" s="9" t="s">
        <v>369</v>
      </c>
      <c r="CN70" s="9" t="s">
        <v>369</v>
      </c>
      <c r="CO70" s="9" t="s">
        <v>369</v>
      </c>
      <c r="CP70" s="9" t="s">
        <v>369</v>
      </c>
    </row>
    <row r="71" spans="1:94" ht="15.75" customHeight="1">
      <c r="A71" s="56" t="s">
        <v>132</v>
      </c>
      <c r="B71" s="9" t="s">
        <v>370</v>
      </c>
      <c r="C71" s="9" t="s">
        <v>400</v>
      </c>
      <c r="D71" s="9" t="s">
        <v>400</v>
      </c>
      <c r="E71" s="9" t="s">
        <v>400</v>
      </c>
      <c r="F71" s="9" t="s">
        <v>400</v>
      </c>
      <c r="G71" s="9" t="s">
        <v>400</v>
      </c>
      <c r="H71" s="9" t="s">
        <v>400</v>
      </c>
      <c r="I71" s="9" t="s">
        <v>400</v>
      </c>
      <c r="J71" s="9" t="s">
        <v>400</v>
      </c>
      <c r="K71" s="9" t="s">
        <v>400</v>
      </c>
      <c r="L71" s="9" t="s">
        <v>428</v>
      </c>
      <c r="M71" s="9" t="s">
        <v>455</v>
      </c>
      <c r="N71" s="9" t="s">
        <v>481</v>
      </c>
      <c r="O71" s="9" t="s">
        <v>481</v>
      </c>
      <c r="P71" s="9" t="s">
        <v>481</v>
      </c>
      <c r="Q71" s="9" t="s">
        <v>481</v>
      </c>
      <c r="R71" s="9" t="s">
        <v>481</v>
      </c>
      <c r="S71" s="9" t="s">
        <v>481</v>
      </c>
      <c r="T71" s="9" t="s">
        <v>481</v>
      </c>
      <c r="U71" s="9" t="s">
        <v>481</v>
      </c>
      <c r="V71" s="9" t="s">
        <v>481</v>
      </c>
      <c r="W71" s="9" t="s">
        <v>481</v>
      </c>
      <c r="X71" s="9" t="s">
        <v>481</v>
      </c>
      <c r="Y71" s="9" t="s">
        <v>481</v>
      </c>
      <c r="Z71" s="9" t="s">
        <v>481</v>
      </c>
      <c r="AA71" s="9" t="s">
        <v>481</v>
      </c>
      <c r="AB71" s="9" t="s">
        <v>481</v>
      </c>
      <c r="AC71" s="9" t="s">
        <v>506</v>
      </c>
      <c r="AD71" s="9" t="s">
        <v>530</v>
      </c>
      <c r="AE71" s="9" t="s">
        <v>553</v>
      </c>
      <c r="AF71" s="9" t="s">
        <v>553</v>
      </c>
      <c r="AG71" s="9" t="s">
        <v>553</v>
      </c>
      <c r="AH71" s="9" t="s">
        <v>553</v>
      </c>
      <c r="AI71" s="9" t="s">
        <v>553</v>
      </c>
      <c r="AJ71" s="9" t="s">
        <v>553</v>
      </c>
      <c r="AK71" s="9" t="s">
        <v>553</v>
      </c>
      <c r="AL71" s="9" t="s">
        <v>553</v>
      </c>
      <c r="AM71" s="9" t="s">
        <v>553</v>
      </c>
      <c r="AN71" s="9" t="s">
        <v>553</v>
      </c>
      <c r="AO71" s="9" t="s">
        <v>575</v>
      </c>
      <c r="AP71" s="9" t="s">
        <v>596</v>
      </c>
      <c r="AQ71" s="9" t="s">
        <v>616</v>
      </c>
      <c r="AR71" s="9" t="s">
        <v>635</v>
      </c>
      <c r="AS71" s="9" t="s">
        <v>653</v>
      </c>
      <c r="AT71" s="9" t="s">
        <v>670</v>
      </c>
      <c r="AU71" s="9" t="s">
        <v>686</v>
      </c>
      <c r="AV71" s="9" t="s">
        <v>701</v>
      </c>
      <c r="AW71" s="9" t="s">
        <v>715</v>
      </c>
      <c r="AX71" s="9" t="s">
        <v>728</v>
      </c>
      <c r="AY71" s="9" t="s">
        <v>728</v>
      </c>
      <c r="AZ71" s="9" t="s">
        <v>740</v>
      </c>
      <c r="BA71" s="9" t="s">
        <v>751</v>
      </c>
      <c r="BB71" s="9" t="s">
        <v>761</v>
      </c>
      <c r="BC71" s="9" t="s">
        <v>770</v>
      </c>
      <c r="BD71" s="9" t="s">
        <v>778</v>
      </c>
      <c r="BE71" s="9" t="s">
        <v>778</v>
      </c>
      <c r="BF71" s="9" t="s">
        <v>785</v>
      </c>
      <c r="BG71" s="9" t="s">
        <v>791</v>
      </c>
      <c r="BH71" s="9" t="s">
        <v>791</v>
      </c>
      <c r="BI71" s="9" t="s">
        <v>791</v>
      </c>
      <c r="BJ71" s="9" t="s">
        <v>791</v>
      </c>
      <c r="BK71" s="9" t="s">
        <v>791</v>
      </c>
      <c r="BL71" s="9" t="s">
        <v>791</v>
      </c>
      <c r="BM71" s="9" t="s">
        <v>791</v>
      </c>
      <c r="BN71" s="9" t="s">
        <v>791</v>
      </c>
      <c r="BO71" s="9" t="s">
        <v>791</v>
      </c>
      <c r="BP71" s="9" t="s">
        <v>791</v>
      </c>
      <c r="BQ71" s="9" t="n">
        <v>0</v>
      </c>
      <c r="BR71" s="9" t="s">
        <v>797</v>
      </c>
      <c r="BS71" s="9" t="s">
        <v>798</v>
      </c>
      <c r="BT71" s="9" t="s">
        <v>799</v>
      </c>
      <c r="BU71" s="9" t="s">
        <v>800</v>
      </c>
      <c r="BV71" s="9" t="s">
        <v>801</v>
      </c>
      <c r="BW71" s="9" t="s">
        <v>370</v>
      </c>
      <c r="BX71" s="9" t="s">
        <v>370</v>
      </c>
      <c r="BY71" s="9" t="s">
        <v>370</v>
      </c>
      <c r="BZ71" s="9" t="s">
        <v>370</v>
      </c>
      <c r="CA71" s="9" t="s">
        <v>370</v>
      </c>
      <c r="CB71" s="9" t="s">
        <v>370</v>
      </c>
      <c r="CC71" s="9" t="s">
        <v>370</v>
      </c>
      <c r="CD71" s="9" t="s">
        <v>370</v>
      </c>
      <c r="CE71" s="9" t="s">
        <v>370</v>
      </c>
      <c r="CF71" s="9" t="s">
        <v>370</v>
      </c>
      <c r="CG71" s="9" t="s">
        <v>370</v>
      </c>
      <c r="CH71" s="9" t="s">
        <v>370</v>
      </c>
      <c r="CI71" s="9" t="s">
        <v>370</v>
      </c>
      <c r="CJ71" s="9" t="s">
        <v>370</v>
      </c>
      <c r="CK71" s="9" t="s">
        <v>370</v>
      </c>
      <c r="CL71" s="9" t="s">
        <v>370</v>
      </c>
      <c r="CM71" s="9" t="s">
        <v>370</v>
      </c>
      <c r="CN71" s="9" t="s">
        <v>370</v>
      </c>
      <c r="CO71" s="9" t="s">
        <v>370</v>
      </c>
      <c r="CP71" s="9" t="s">
        <v>370</v>
      </c>
    </row>
    <row r="72" spans="1:94" ht="15.75" customHeight="1">
      <c r="A72" s="56" t="s">
        <v>126</v>
      </c>
      <c r="B72" s="9" t="s">
        <v>371</v>
      </c>
      <c r="C72" s="9" t="s">
        <v>401</v>
      </c>
      <c r="D72" s="9" t="s">
        <v>401</v>
      </c>
      <c r="E72" s="9" t="s">
        <v>401</v>
      </c>
      <c r="F72" s="9" t="s">
        <v>401</v>
      </c>
      <c r="G72" s="9" t="s">
        <v>401</v>
      </c>
      <c r="H72" s="9" t="s">
        <v>401</v>
      </c>
      <c r="I72" s="9" t="s">
        <v>401</v>
      </c>
      <c r="J72" s="9" t="s">
        <v>401</v>
      </c>
      <c r="K72" s="9" t="s">
        <v>401</v>
      </c>
      <c r="L72" s="9" t="s">
        <v>429</v>
      </c>
      <c r="M72" s="9" t="s">
        <v>456</v>
      </c>
      <c r="N72" s="9" t="s">
        <v>482</v>
      </c>
      <c r="O72" s="9" t="s">
        <v>482</v>
      </c>
      <c r="P72" s="9" t="s">
        <v>482</v>
      </c>
      <c r="Q72" s="9" t="s">
        <v>482</v>
      </c>
      <c r="R72" s="9" t="s">
        <v>482</v>
      </c>
      <c r="S72" s="9" t="s">
        <v>482</v>
      </c>
      <c r="T72" s="9" t="s">
        <v>482</v>
      </c>
      <c r="U72" s="9" t="s">
        <v>482</v>
      </c>
      <c r="V72" s="9" t="s">
        <v>482</v>
      </c>
      <c r="W72" s="9" t="s">
        <v>482</v>
      </c>
      <c r="X72" s="9" t="s">
        <v>482</v>
      </c>
      <c r="Y72" s="9" t="s">
        <v>482</v>
      </c>
      <c r="Z72" s="9" t="s">
        <v>482</v>
      </c>
      <c r="AA72" s="9" t="s">
        <v>482</v>
      </c>
      <c r="AB72" s="9" t="s">
        <v>482</v>
      </c>
      <c r="AC72" s="9" t="s">
        <v>507</v>
      </c>
      <c r="AD72" s="9" t="s">
        <v>531</v>
      </c>
      <c r="AE72" s="9" t="s">
        <v>554</v>
      </c>
      <c r="AF72" s="9" t="s">
        <v>554</v>
      </c>
      <c r="AG72" s="9" t="s">
        <v>554</v>
      </c>
      <c r="AH72" s="9" t="s">
        <v>554</v>
      </c>
      <c r="AI72" s="9" t="s">
        <v>554</v>
      </c>
      <c r="AJ72" s="9" t="s">
        <v>554</v>
      </c>
      <c r="AK72" s="9" t="s">
        <v>554</v>
      </c>
      <c r="AL72" s="9" t="s">
        <v>554</v>
      </c>
      <c r="AM72" s="9" t="s">
        <v>554</v>
      </c>
      <c r="AN72" s="9" t="s">
        <v>554</v>
      </c>
      <c r="AO72" s="9" t="s">
        <v>576</v>
      </c>
      <c r="AP72" s="9" t="s">
        <v>597</v>
      </c>
      <c r="AQ72" s="9" t="s">
        <v>617</v>
      </c>
      <c r="AR72" s="9" t="s">
        <v>636</v>
      </c>
      <c r="AS72" s="9" t="s">
        <v>654</v>
      </c>
      <c r="AT72" s="9" t="s">
        <v>671</v>
      </c>
      <c r="AU72" s="9" t="s">
        <v>687</v>
      </c>
      <c r="AV72" s="9" t="s">
        <v>702</v>
      </c>
      <c r="AW72" s="9" t="s">
        <v>716</v>
      </c>
      <c r="AX72" s="9" t="s">
        <v>729</v>
      </c>
      <c r="AY72" s="9" t="s">
        <v>729</v>
      </c>
      <c r="AZ72" s="9" t="s">
        <v>741</v>
      </c>
      <c r="BA72" s="9" t="s">
        <v>752</v>
      </c>
      <c r="BB72" s="9" t="s">
        <v>762</v>
      </c>
      <c r="BC72" s="9" t="s">
        <v>771</v>
      </c>
      <c r="BD72" s="9" t="s">
        <v>779</v>
      </c>
      <c r="BE72" s="9" t="s">
        <v>779</v>
      </c>
      <c r="BF72" s="9" t="s">
        <v>786</v>
      </c>
      <c r="BG72" s="9" t="s">
        <v>792</v>
      </c>
      <c r="BH72" s="9" t="s">
        <v>792</v>
      </c>
      <c r="BI72" s="9" t="s">
        <v>792</v>
      </c>
      <c r="BJ72" s="9" t="s">
        <v>792</v>
      </c>
      <c r="BK72" s="9" t="s">
        <v>792</v>
      </c>
      <c r="BL72" s="9" t="s">
        <v>792</v>
      </c>
      <c r="BM72" s="9" t="s">
        <v>792</v>
      </c>
      <c r="BN72" s="9" t="s">
        <v>792</v>
      </c>
      <c r="BO72" s="9" t="s">
        <v>792</v>
      </c>
      <c r="BP72" s="9" t="s">
        <v>792</v>
      </c>
      <c r="BQ72" s="9" t="s">
        <v>797</v>
      </c>
      <c r="BR72" s="9" t="n">
        <v>0</v>
      </c>
      <c r="BS72" s="9" t="s">
        <v>802</v>
      </c>
      <c r="BT72" s="9" t="s">
        <v>803</v>
      </c>
      <c r="BU72" s="9" t="s">
        <v>804</v>
      </c>
      <c r="BV72" s="9" t="s">
        <v>805</v>
      </c>
      <c r="BW72" s="9" t="s">
        <v>371</v>
      </c>
      <c r="BX72" s="9" t="s">
        <v>371</v>
      </c>
      <c r="BY72" s="9" t="s">
        <v>371</v>
      </c>
      <c r="BZ72" s="9" t="s">
        <v>371</v>
      </c>
      <c r="CA72" s="9" t="s">
        <v>371</v>
      </c>
      <c r="CB72" s="9" t="s">
        <v>371</v>
      </c>
      <c r="CC72" s="9" t="s">
        <v>371</v>
      </c>
      <c r="CD72" s="9" t="s">
        <v>371</v>
      </c>
      <c r="CE72" s="9" t="s">
        <v>371</v>
      </c>
      <c r="CF72" s="9" t="s">
        <v>371</v>
      </c>
      <c r="CG72" s="9" t="s">
        <v>371</v>
      </c>
      <c r="CH72" s="9" t="s">
        <v>371</v>
      </c>
      <c r="CI72" s="9" t="s">
        <v>371</v>
      </c>
      <c r="CJ72" s="9" t="s">
        <v>371</v>
      </c>
      <c r="CK72" s="9" t="s">
        <v>371</v>
      </c>
      <c r="CL72" s="9" t="s">
        <v>371</v>
      </c>
      <c r="CM72" s="9" t="s">
        <v>371</v>
      </c>
      <c r="CN72" s="9" t="s">
        <v>371</v>
      </c>
      <c r="CO72" s="9" t="s">
        <v>371</v>
      </c>
      <c r="CP72" s="9" t="s">
        <v>371</v>
      </c>
    </row>
    <row r="73" spans="1:94" ht="15.75" customHeight="1">
      <c r="A73" s="56" t="s">
        <v>134</v>
      </c>
      <c r="B73" s="9" t="s">
        <v>372</v>
      </c>
      <c r="C73" s="9" t="s">
        <v>402</v>
      </c>
      <c r="D73" s="9" t="s">
        <v>402</v>
      </c>
      <c r="E73" s="9" t="s">
        <v>402</v>
      </c>
      <c r="F73" s="9" t="s">
        <v>402</v>
      </c>
      <c r="G73" s="9" t="s">
        <v>402</v>
      </c>
      <c r="H73" s="9" t="s">
        <v>402</v>
      </c>
      <c r="I73" s="9" t="s">
        <v>402</v>
      </c>
      <c r="J73" s="9" t="s">
        <v>402</v>
      </c>
      <c r="K73" s="9" t="s">
        <v>402</v>
      </c>
      <c r="L73" s="9" t="s">
        <v>430</v>
      </c>
      <c r="M73" s="9" t="s">
        <v>457</v>
      </c>
      <c r="N73" s="9" t="s">
        <v>483</v>
      </c>
      <c r="O73" s="9" t="s">
        <v>483</v>
      </c>
      <c r="P73" s="9" t="s">
        <v>483</v>
      </c>
      <c r="Q73" s="9" t="s">
        <v>483</v>
      </c>
      <c r="R73" s="9" t="s">
        <v>483</v>
      </c>
      <c r="S73" s="9" t="s">
        <v>483</v>
      </c>
      <c r="T73" s="9" t="s">
        <v>483</v>
      </c>
      <c r="U73" s="9" t="s">
        <v>483</v>
      </c>
      <c r="V73" s="9" t="s">
        <v>483</v>
      </c>
      <c r="W73" s="9" t="s">
        <v>483</v>
      </c>
      <c r="X73" s="9" t="s">
        <v>483</v>
      </c>
      <c r="Y73" s="9" t="s">
        <v>483</v>
      </c>
      <c r="Z73" s="9" t="s">
        <v>483</v>
      </c>
      <c r="AA73" s="9" t="s">
        <v>483</v>
      </c>
      <c r="AB73" s="9" t="s">
        <v>483</v>
      </c>
      <c r="AC73" s="9" t="s">
        <v>508</v>
      </c>
      <c r="AD73" s="9" t="s">
        <v>532</v>
      </c>
      <c r="AE73" s="9" t="s">
        <v>555</v>
      </c>
      <c r="AF73" s="9" t="s">
        <v>555</v>
      </c>
      <c r="AG73" s="9" t="s">
        <v>555</v>
      </c>
      <c r="AH73" s="9" t="s">
        <v>555</v>
      </c>
      <c r="AI73" s="9" t="s">
        <v>555</v>
      </c>
      <c r="AJ73" s="9" t="s">
        <v>555</v>
      </c>
      <c r="AK73" s="9" t="s">
        <v>555</v>
      </c>
      <c r="AL73" s="9" t="s">
        <v>555</v>
      </c>
      <c r="AM73" s="9" t="s">
        <v>555</v>
      </c>
      <c r="AN73" s="9" t="s">
        <v>555</v>
      </c>
      <c r="AO73" s="9" t="s">
        <v>577</v>
      </c>
      <c r="AP73" s="9" t="s">
        <v>598</v>
      </c>
      <c r="AQ73" s="9" t="s">
        <v>618</v>
      </c>
      <c r="AR73" s="9" t="s">
        <v>637</v>
      </c>
      <c r="AS73" s="9" t="s">
        <v>655</v>
      </c>
      <c r="AT73" s="9" t="s">
        <v>672</v>
      </c>
      <c r="AU73" s="9" t="s">
        <v>688</v>
      </c>
      <c r="AV73" s="9" t="s">
        <v>703</v>
      </c>
      <c r="AW73" s="9" t="s">
        <v>717</v>
      </c>
      <c r="AX73" s="9" t="s">
        <v>730</v>
      </c>
      <c r="AY73" s="9" t="s">
        <v>730</v>
      </c>
      <c r="AZ73" s="9" t="s">
        <v>742</v>
      </c>
      <c r="BA73" s="9" t="s">
        <v>753</v>
      </c>
      <c r="BB73" s="9" t="s">
        <v>763</v>
      </c>
      <c r="BC73" s="9" t="s">
        <v>772</v>
      </c>
      <c r="BD73" s="9" t="s">
        <v>780</v>
      </c>
      <c r="BE73" s="9" t="s">
        <v>780</v>
      </c>
      <c r="BF73" s="9" t="s">
        <v>787</v>
      </c>
      <c r="BG73" s="9" t="s">
        <v>793</v>
      </c>
      <c r="BH73" s="9" t="s">
        <v>793</v>
      </c>
      <c r="BI73" s="9" t="s">
        <v>793</v>
      </c>
      <c r="BJ73" s="9" t="s">
        <v>793</v>
      </c>
      <c r="BK73" s="9" t="s">
        <v>793</v>
      </c>
      <c r="BL73" s="9" t="s">
        <v>793</v>
      </c>
      <c r="BM73" s="9" t="s">
        <v>793</v>
      </c>
      <c r="BN73" s="9" t="s">
        <v>793</v>
      </c>
      <c r="BO73" s="9" t="s">
        <v>793</v>
      </c>
      <c r="BP73" s="9" t="s">
        <v>793</v>
      </c>
      <c r="BQ73" s="9" t="s">
        <v>798</v>
      </c>
      <c r="BR73" s="9" t="s">
        <v>802</v>
      </c>
      <c r="BS73" s="9" t="n">
        <v>0</v>
      </c>
      <c r="BT73" s="9" t="s">
        <v>806</v>
      </c>
      <c r="BU73" s="9" t="s">
        <v>807</v>
      </c>
      <c r="BV73" s="9" t="s">
        <v>808</v>
      </c>
      <c r="BW73" s="9" t="s">
        <v>372</v>
      </c>
      <c r="BX73" s="9" t="s">
        <v>372</v>
      </c>
      <c r="BY73" s="9" t="s">
        <v>372</v>
      </c>
      <c r="BZ73" s="9" t="s">
        <v>372</v>
      </c>
      <c r="CA73" s="9" t="s">
        <v>372</v>
      </c>
      <c r="CB73" s="9" t="s">
        <v>372</v>
      </c>
      <c r="CC73" s="9" t="s">
        <v>372</v>
      </c>
      <c r="CD73" s="9" t="s">
        <v>372</v>
      </c>
      <c r="CE73" s="9" t="s">
        <v>372</v>
      </c>
      <c r="CF73" s="9" t="s">
        <v>372</v>
      </c>
      <c r="CG73" s="9" t="s">
        <v>372</v>
      </c>
      <c r="CH73" s="9" t="s">
        <v>372</v>
      </c>
      <c r="CI73" s="9" t="s">
        <v>372</v>
      </c>
      <c r="CJ73" s="9" t="s">
        <v>372</v>
      </c>
      <c r="CK73" s="9" t="s">
        <v>372</v>
      </c>
      <c r="CL73" s="9" t="s">
        <v>372</v>
      </c>
      <c r="CM73" s="9" t="s">
        <v>372</v>
      </c>
      <c r="CN73" s="9" t="s">
        <v>372</v>
      </c>
      <c r="CO73" s="9" t="s">
        <v>372</v>
      </c>
      <c r="CP73" s="9" t="s">
        <v>372</v>
      </c>
    </row>
    <row r="74" spans="1:94" ht="15.75" customHeight="1">
      <c r="A74" s="56" t="s">
        <v>106</v>
      </c>
      <c r="B74" s="9" t="s">
        <v>373</v>
      </c>
      <c r="C74" s="9" t="s">
        <v>403</v>
      </c>
      <c r="D74" s="9" t="s">
        <v>403</v>
      </c>
      <c r="E74" s="9" t="s">
        <v>403</v>
      </c>
      <c r="F74" s="9" t="s">
        <v>403</v>
      </c>
      <c r="G74" s="9" t="s">
        <v>403</v>
      </c>
      <c r="H74" s="9" t="s">
        <v>403</v>
      </c>
      <c r="I74" s="9" t="s">
        <v>403</v>
      </c>
      <c r="J74" s="9" t="s">
        <v>403</v>
      </c>
      <c r="K74" s="9" t="s">
        <v>403</v>
      </c>
      <c r="L74" s="9" t="s">
        <v>431</v>
      </c>
      <c r="M74" s="9" t="s">
        <v>458</v>
      </c>
      <c r="N74" s="9" t="s">
        <v>484</v>
      </c>
      <c r="O74" s="9" t="s">
        <v>484</v>
      </c>
      <c r="P74" s="9" t="s">
        <v>484</v>
      </c>
      <c r="Q74" s="9" t="s">
        <v>484</v>
      </c>
      <c r="R74" s="9" t="s">
        <v>484</v>
      </c>
      <c r="S74" s="9" t="s">
        <v>484</v>
      </c>
      <c r="T74" s="9" t="s">
        <v>484</v>
      </c>
      <c r="U74" s="9" t="s">
        <v>484</v>
      </c>
      <c r="V74" s="9" t="s">
        <v>484</v>
      </c>
      <c r="W74" s="9" t="s">
        <v>484</v>
      </c>
      <c r="X74" s="9" t="s">
        <v>484</v>
      </c>
      <c r="Y74" s="9" t="s">
        <v>484</v>
      </c>
      <c r="Z74" s="9" t="s">
        <v>484</v>
      </c>
      <c r="AA74" s="9" t="s">
        <v>484</v>
      </c>
      <c r="AB74" s="9" t="s">
        <v>484</v>
      </c>
      <c r="AC74" s="9" t="s">
        <v>509</v>
      </c>
      <c r="AD74" s="9" t="s">
        <v>533</v>
      </c>
      <c r="AE74" s="9" t="s">
        <v>556</v>
      </c>
      <c r="AF74" s="9" t="s">
        <v>556</v>
      </c>
      <c r="AG74" s="9" t="s">
        <v>556</v>
      </c>
      <c r="AH74" s="9" t="s">
        <v>556</v>
      </c>
      <c r="AI74" s="9" t="s">
        <v>556</v>
      </c>
      <c r="AJ74" s="9" t="s">
        <v>556</v>
      </c>
      <c r="AK74" s="9" t="s">
        <v>556</v>
      </c>
      <c r="AL74" s="9" t="s">
        <v>556</v>
      </c>
      <c r="AM74" s="9" t="s">
        <v>556</v>
      </c>
      <c r="AN74" s="9" t="s">
        <v>556</v>
      </c>
      <c r="AO74" s="9" t="s">
        <v>578</v>
      </c>
      <c r="AP74" s="9" t="s">
        <v>599</v>
      </c>
      <c r="AQ74" s="9" t="s">
        <v>619</v>
      </c>
      <c r="AR74" s="9" t="s">
        <v>638</v>
      </c>
      <c r="AS74" s="9" t="s">
        <v>656</v>
      </c>
      <c r="AT74" s="9" t="s">
        <v>673</v>
      </c>
      <c r="AU74" s="9" t="s">
        <v>689</v>
      </c>
      <c r="AV74" s="9" t="s">
        <v>704</v>
      </c>
      <c r="AW74" s="9" t="s">
        <v>718</v>
      </c>
      <c r="AX74" s="9" t="s">
        <v>731</v>
      </c>
      <c r="AY74" s="9" t="s">
        <v>731</v>
      </c>
      <c r="AZ74" s="9" t="s">
        <v>743</v>
      </c>
      <c r="BA74" s="9" t="s">
        <v>754</v>
      </c>
      <c r="BB74" s="9" t="s">
        <v>764</v>
      </c>
      <c r="BC74" s="9" t="s">
        <v>773</v>
      </c>
      <c r="BD74" s="9" t="s">
        <v>781</v>
      </c>
      <c r="BE74" s="9" t="s">
        <v>781</v>
      </c>
      <c r="BF74" s="9" t="s">
        <v>788</v>
      </c>
      <c r="BG74" s="9" t="s">
        <v>794</v>
      </c>
      <c r="BH74" s="9" t="s">
        <v>794</v>
      </c>
      <c r="BI74" s="9" t="s">
        <v>794</v>
      </c>
      <c r="BJ74" s="9" t="s">
        <v>794</v>
      </c>
      <c r="BK74" s="9" t="s">
        <v>794</v>
      </c>
      <c r="BL74" s="9" t="s">
        <v>794</v>
      </c>
      <c r="BM74" s="9" t="s">
        <v>794</v>
      </c>
      <c r="BN74" s="9" t="s">
        <v>794</v>
      </c>
      <c r="BO74" s="9" t="s">
        <v>794</v>
      </c>
      <c r="BP74" s="9" t="s">
        <v>794</v>
      </c>
      <c r="BQ74" s="9" t="s">
        <v>799</v>
      </c>
      <c r="BR74" s="9" t="s">
        <v>803</v>
      </c>
      <c r="BS74" s="9" t="s">
        <v>806</v>
      </c>
      <c r="BT74" s="9" t="n">
        <v>0</v>
      </c>
      <c r="BU74" s="9" t="s">
        <v>809</v>
      </c>
      <c r="BV74" s="9" t="s">
        <v>810</v>
      </c>
      <c r="BW74" s="9" t="s">
        <v>373</v>
      </c>
      <c r="BX74" s="9" t="s">
        <v>373</v>
      </c>
      <c r="BY74" s="9" t="s">
        <v>373</v>
      </c>
      <c r="BZ74" s="9" t="s">
        <v>373</v>
      </c>
      <c r="CA74" s="9" t="s">
        <v>373</v>
      </c>
      <c r="CB74" s="9" t="s">
        <v>373</v>
      </c>
      <c r="CC74" s="9" t="s">
        <v>373</v>
      </c>
      <c r="CD74" s="9" t="s">
        <v>373</v>
      </c>
      <c r="CE74" s="9" t="s">
        <v>373</v>
      </c>
      <c r="CF74" s="9" t="s">
        <v>373</v>
      </c>
      <c r="CG74" s="9" t="s">
        <v>373</v>
      </c>
      <c r="CH74" s="9" t="s">
        <v>373</v>
      </c>
      <c r="CI74" s="9" t="s">
        <v>373</v>
      </c>
      <c r="CJ74" s="9" t="s">
        <v>373</v>
      </c>
      <c r="CK74" s="9" t="s">
        <v>373</v>
      </c>
      <c r="CL74" s="9" t="s">
        <v>373</v>
      </c>
      <c r="CM74" s="9" t="s">
        <v>373</v>
      </c>
      <c r="CN74" s="9" t="s">
        <v>373</v>
      </c>
      <c r="CO74" s="9" t="s">
        <v>373</v>
      </c>
      <c r="CP74" s="9" t="s">
        <v>373</v>
      </c>
    </row>
    <row r="75" spans="1:94" ht="15.75" customHeight="1">
      <c r="A75" s="56" t="s">
        <v>120</v>
      </c>
      <c r="B75" s="9" t="s">
        <v>374</v>
      </c>
      <c r="C75" s="9" t="s">
        <v>404</v>
      </c>
      <c r="D75" s="9" t="s">
        <v>404</v>
      </c>
      <c r="E75" s="9" t="s">
        <v>404</v>
      </c>
      <c r="F75" s="9" t="s">
        <v>404</v>
      </c>
      <c r="G75" s="9" t="s">
        <v>404</v>
      </c>
      <c r="H75" s="9" t="s">
        <v>404</v>
      </c>
      <c r="I75" s="9" t="s">
        <v>404</v>
      </c>
      <c r="J75" s="9" t="s">
        <v>404</v>
      </c>
      <c r="K75" s="9" t="s">
        <v>404</v>
      </c>
      <c r="L75" s="9" t="s">
        <v>432</v>
      </c>
      <c r="M75" s="9" t="s">
        <v>459</v>
      </c>
      <c r="N75" s="9" t="s">
        <v>485</v>
      </c>
      <c r="O75" s="9" t="s">
        <v>485</v>
      </c>
      <c r="P75" s="9" t="s">
        <v>485</v>
      </c>
      <c r="Q75" s="9" t="s">
        <v>485</v>
      </c>
      <c r="R75" s="9" t="s">
        <v>485</v>
      </c>
      <c r="S75" s="9" t="s">
        <v>485</v>
      </c>
      <c r="T75" s="9" t="s">
        <v>485</v>
      </c>
      <c r="U75" s="9" t="s">
        <v>485</v>
      </c>
      <c r="V75" s="9" t="s">
        <v>485</v>
      </c>
      <c r="W75" s="9" t="s">
        <v>485</v>
      </c>
      <c r="X75" s="9" t="s">
        <v>485</v>
      </c>
      <c r="Y75" s="9" t="s">
        <v>485</v>
      </c>
      <c r="Z75" s="9" t="s">
        <v>485</v>
      </c>
      <c r="AA75" s="9" t="s">
        <v>485</v>
      </c>
      <c r="AB75" s="9" t="s">
        <v>485</v>
      </c>
      <c r="AC75" s="9" t="s">
        <v>510</v>
      </c>
      <c r="AD75" s="9" t="s">
        <v>534</v>
      </c>
      <c r="AE75" s="9" t="s">
        <v>557</v>
      </c>
      <c r="AF75" s="9" t="s">
        <v>557</v>
      </c>
      <c r="AG75" s="9" t="s">
        <v>557</v>
      </c>
      <c r="AH75" s="9" t="s">
        <v>557</v>
      </c>
      <c r="AI75" s="9" t="s">
        <v>557</v>
      </c>
      <c r="AJ75" s="9" t="s">
        <v>557</v>
      </c>
      <c r="AK75" s="9" t="s">
        <v>557</v>
      </c>
      <c r="AL75" s="9" t="s">
        <v>557</v>
      </c>
      <c r="AM75" s="9" t="s">
        <v>557</v>
      </c>
      <c r="AN75" s="9" t="s">
        <v>557</v>
      </c>
      <c r="AO75" s="9" t="s">
        <v>579</v>
      </c>
      <c r="AP75" s="9" t="s">
        <v>600</v>
      </c>
      <c r="AQ75" s="9" t="s">
        <v>620</v>
      </c>
      <c r="AR75" s="9" t="s">
        <v>639</v>
      </c>
      <c r="AS75" s="9" t="s">
        <v>657</v>
      </c>
      <c r="AT75" s="9" t="s">
        <v>674</v>
      </c>
      <c r="AU75" s="9" t="s">
        <v>690</v>
      </c>
      <c r="AV75" s="9" t="s">
        <v>705</v>
      </c>
      <c r="AW75" s="9" t="s">
        <v>719</v>
      </c>
      <c r="AX75" s="9" t="s">
        <v>732</v>
      </c>
      <c r="AY75" s="9" t="s">
        <v>732</v>
      </c>
      <c r="AZ75" s="9" t="s">
        <v>744</v>
      </c>
      <c r="BA75" s="9" t="s">
        <v>755</v>
      </c>
      <c r="BB75" s="9" t="s">
        <v>765</v>
      </c>
      <c r="BC75" s="9" t="s">
        <v>774</v>
      </c>
      <c r="BD75" s="9" t="s">
        <v>782</v>
      </c>
      <c r="BE75" s="9" t="s">
        <v>782</v>
      </c>
      <c r="BF75" s="9" t="s">
        <v>789</v>
      </c>
      <c r="BG75" s="9" t="s">
        <v>795</v>
      </c>
      <c r="BH75" s="9" t="s">
        <v>795</v>
      </c>
      <c r="BI75" s="9" t="s">
        <v>795</v>
      </c>
      <c r="BJ75" s="9" t="s">
        <v>795</v>
      </c>
      <c r="BK75" s="9" t="s">
        <v>795</v>
      </c>
      <c r="BL75" s="9" t="s">
        <v>795</v>
      </c>
      <c r="BM75" s="9" t="s">
        <v>795</v>
      </c>
      <c r="BN75" s="9" t="s">
        <v>795</v>
      </c>
      <c r="BO75" s="9" t="s">
        <v>795</v>
      </c>
      <c r="BP75" s="9" t="s">
        <v>795</v>
      </c>
      <c r="BQ75" s="9" t="s">
        <v>800</v>
      </c>
      <c r="BR75" s="9" t="s">
        <v>804</v>
      </c>
      <c r="BS75" s="9" t="s">
        <v>807</v>
      </c>
      <c r="BT75" s="9" t="s">
        <v>809</v>
      </c>
      <c r="BU75" s="9" t="n">
        <v>0</v>
      </c>
      <c r="BV75" s="9" t="s">
        <v>811</v>
      </c>
      <c r="BW75" s="9" t="s">
        <v>374</v>
      </c>
      <c r="BX75" s="9" t="s">
        <v>374</v>
      </c>
      <c r="BY75" s="9" t="s">
        <v>374</v>
      </c>
      <c r="BZ75" s="9" t="s">
        <v>374</v>
      </c>
      <c r="CA75" s="9" t="s">
        <v>374</v>
      </c>
      <c r="CB75" s="9" t="s">
        <v>374</v>
      </c>
      <c r="CC75" s="9" t="s">
        <v>374</v>
      </c>
      <c r="CD75" s="9" t="s">
        <v>374</v>
      </c>
      <c r="CE75" s="9" t="s">
        <v>374</v>
      </c>
      <c r="CF75" s="9" t="s">
        <v>374</v>
      </c>
      <c r="CG75" s="9" t="s">
        <v>374</v>
      </c>
      <c r="CH75" s="9" t="s">
        <v>374</v>
      </c>
      <c r="CI75" s="9" t="s">
        <v>374</v>
      </c>
      <c r="CJ75" s="9" t="s">
        <v>374</v>
      </c>
      <c r="CK75" s="9" t="s">
        <v>374</v>
      </c>
      <c r="CL75" s="9" t="s">
        <v>374</v>
      </c>
      <c r="CM75" s="9" t="s">
        <v>374</v>
      </c>
      <c r="CN75" s="9" t="s">
        <v>374</v>
      </c>
      <c r="CO75" s="9" t="s">
        <v>374</v>
      </c>
      <c r="CP75" s="9" t="s">
        <v>374</v>
      </c>
    </row>
    <row r="76" spans="1:94" ht="15.75" customHeight="1">
      <c r="A76" s="56" t="s">
        <v>325</v>
      </c>
      <c r="B76" s="9" t="s">
        <v>375</v>
      </c>
      <c r="C76" s="9" t="s">
        <v>405</v>
      </c>
      <c r="D76" s="9" t="s">
        <v>405</v>
      </c>
      <c r="E76" s="9" t="s">
        <v>405</v>
      </c>
      <c r="F76" s="9" t="s">
        <v>405</v>
      </c>
      <c r="G76" s="9" t="s">
        <v>405</v>
      </c>
      <c r="H76" s="9" t="s">
        <v>405</v>
      </c>
      <c r="I76" s="9" t="s">
        <v>405</v>
      </c>
      <c r="J76" s="9" t="s">
        <v>405</v>
      </c>
      <c r="K76" s="9" t="s">
        <v>405</v>
      </c>
      <c r="L76" s="9" t="s">
        <v>433</v>
      </c>
      <c r="M76" s="9" t="s">
        <v>460</v>
      </c>
      <c r="N76" s="9" t="s">
        <v>486</v>
      </c>
      <c r="O76" s="9" t="s">
        <v>486</v>
      </c>
      <c r="P76" s="9" t="s">
        <v>486</v>
      </c>
      <c r="Q76" s="9" t="s">
        <v>486</v>
      </c>
      <c r="R76" s="9" t="s">
        <v>486</v>
      </c>
      <c r="S76" s="9" t="s">
        <v>486</v>
      </c>
      <c r="T76" s="9" t="s">
        <v>486</v>
      </c>
      <c r="U76" s="9" t="s">
        <v>486</v>
      </c>
      <c r="V76" s="9" t="s">
        <v>486</v>
      </c>
      <c r="W76" s="9" t="s">
        <v>486</v>
      </c>
      <c r="X76" s="9" t="s">
        <v>486</v>
      </c>
      <c r="Y76" s="9" t="s">
        <v>486</v>
      </c>
      <c r="Z76" s="9" t="s">
        <v>486</v>
      </c>
      <c r="AA76" s="9" t="s">
        <v>486</v>
      </c>
      <c r="AB76" s="9" t="s">
        <v>486</v>
      </c>
      <c r="AC76" s="9" t="s">
        <v>511</v>
      </c>
      <c r="AD76" s="9" t="s">
        <v>535</v>
      </c>
      <c r="AE76" s="9" t="s">
        <v>558</v>
      </c>
      <c r="AF76" s="9" t="s">
        <v>558</v>
      </c>
      <c r="AG76" s="9" t="s">
        <v>558</v>
      </c>
      <c r="AH76" s="9" t="s">
        <v>558</v>
      </c>
      <c r="AI76" s="9" t="s">
        <v>558</v>
      </c>
      <c r="AJ76" s="9" t="s">
        <v>558</v>
      </c>
      <c r="AK76" s="9" t="s">
        <v>558</v>
      </c>
      <c r="AL76" s="9" t="s">
        <v>558</v>
      </c>
      <c r="AM76" s="9" t="s">
        <v>558</v>
      </c>
      <c r="AN76" s="9" t="s">
        <v>558</v>
      </c>
      <c r="AO76" s="9" t="s">
        <v>580</v>
      </c>
      <c r="AP76" s="9" t="s">
        <v>601</v>
      </c>
      <c r="AQ76" s="9" t="s">
        <v>621</v>
      </c>
      <c r="AR76" s="9" t="s">
        <v>640</v>
      </c>
      <c r="AS76" s="9" t="s">
        <v>658</v>
      </c>
      <c r="AT76" s="9" t="s">
        <v>675</v>
      </c>
      <c r="AU76" s="9" t="s">
        <v>691</v>
      </c>
      <c r="AV76" s="9" t="s">
        <v>706</v>
      </c>
      <c r="AW76" s="9" t="s">
        <v>720</v>
      </c>
      <c r="AX76" s="9" t="s">
        <v>733</v>
      </c>
      <c r="AY76" s="9" t="s">
        <v>733</v>
      </c>
      <c r="AZ76" s="9" t="s">
        <v>745</v>
      </c>
      <c r="BA76" s="9" t="s">
        <v>756</v>
      </c>
      <c r="BB76" s="9" t="s">
        <v>766</v>
      </c>
      <c r="BC76" s="9" t="s">
        <v>775</v>
      </c>
      <c r="BD76" s="9" t="s">
        <v>783</v>
      </c>
      <c r="BE76" s="9" t="s">
        <v>783</v>
      </c>
      <c r="BF76" s="9" t="s">
        <v>790</v>
      </c>
      <c r="BG76" s="9" t="s">
        <v>796</v>
      </c>
      <c r="BH76" s="9" t="s">
        <v>796</v>
      </c>
      <c r="BI76" s="9" t="s">
        <v>796</v>
      </c>
      <c r="BJ76" s="9" t="s">
        <v>796</v>
      </c>
      <c r="BK76" s="9" t="s">
        <v>796</v>
      </c>
      <c r="BL76" s="9" t="s">
        <v>796</v>
      </c>
      <c r="BM76" s="9" t="s">
        <v>796</v>
      </c>
      <c r="BN76" s="9" t="s">
        <v>796</v>
      </c>
      <c r="BO76" s="9" t="s">
        <v>796</v>
      </c>
      <c r="BP76" s="9" t="s">
        <v>796</v>
      </c>
      <c r="BQ76" s="9" t="s">
        <v>801</v>
      </c>
      <c r="BR76" s="9" t="s">
        <v>805</v>
      </c>
      <c r="BS76" s="9" t="s">
        <v>808</v>
      </c>
      <c r="BT76" s="9" t="s">
        <v>810</v>
      </c>
      <c r="BU76" s="9" t="s">
        <v>811</v>
      </c>
      <c r="BV76" s="9" t="n">
        <v>0</v>
      </c>
      <c r="BW76" s="9" t="s">
        <v>375</v>
      </c>
      <c r="BX76" s="9" t="s">
        <v>375</v>
      </c>
      <c r="BY76" s="9" t="s">
        <v>375</v>
      </c>
      <c r="BZ76" s="9" t="s">
        <v>375</v>
      </c>
      <c r="CA76" s="9" t="s">
        <v>375</v>
      </c>
      <c r="CB76" s="9" t="s">
        <v>375</v>
      </c>
      <c r="CC76" s="9" t="s">
        <v>375</v>
      </c>
      <c r="CD76" s="9" t="s">
        <v>375</v>
      </c>
      <c r="CE76" s="9" t="s">
        <v>375</v>
      </c>
      <c r="CF76" s="9" t="s">
        <v>375</v>
      </c>
      <c r="CG76" s="9" t="s">
        <v>375</v>
      </c>
      <c r="CH76" s="9" t="s">
        <v>375</v>
      </c>
      <c r="CI76" s="9" t="s">
        <v>375</v>
      </c>
      <c r="CJ76" s="9" t="s">
        <v>375</v>
      </c>
      <c r="CK76" s="9" t="s">
        <v>375</v>
      </c>
      <c r="CL76" s="9" t="s">
        <v>375</v>
      </c>
      <c r="CM76" s="9" t="s">
        <v>375</v>
      </c>
      <c r="CN76" s="9" t="s">
        <v>375</v>
      </c>
      <c r="CO76" s="9" t="s">
        <v>375</v>
      </c>
      <c r="CP76" s="9" t="s">
        <v>375</v>
      </c>
    </row>
    <row r="77" spans="1:94" ht="15.75" customHeight="1">
      <c r="A77" s="56" t="s">
        <v>326</v>
      </c>
      <c r="B77" s="9" t="s">
        <v>376</v>
      </c>
      <c r="C77" s="9" t="s">
        <v>346</v>
      </c>
      <c r="D77" s="9" t="s">
        <v>346</v>
      </c>
      <c r="E77" s="9" t="s">
        <v>346</v>
      </c>
      <c r="F77" s="9" t="s">
        <v>346</v>
      </c>
      <c r="G77" s="9" t="s">
        <v>346</v>
      </c>
      <c r="H77" s="9" t="s">
        <v>346</v>
      </c>
      <c r="I77" s="9" t="s">
        <v>346</v>
      </c>
      <c r="J77" s="9" t="s">
        <v>346</v>
      </c>
      <c r="K77" s="9" t="s">
        <v>346</v>
      </c>
      <c r="L77" s="9" t="s">
        <v>347</v>
      </c>
      <c r="M77" s="9" t="s">
        <v>348</v>
      </c>
      <c r="N77" s="9" t="s">
        <v>349</v>
      </c>
      <c r="O77" s="9" t="s">
        <v>349</v>
      </c>
      <c r="P77" s="9" t="s">
        <v>349</v>
      </c>
      <c r="Q77" s="9" t="s">
        <v>349</v>
      </c>
      <c r="R77" s="9" t="s">
        <v>349</v>
      </c>
      <c r="S77" s="9" t="s">
        <v>349</v>
      </c>
      <c r="T77" s="9" t="s">
        <v>349</v>
      </c>
      <c r="U77" s="9" t="s">
        <v>349</v>
      </c>
      <c r="V77" s="9" t="s">
        <v>349</v>
      </c>
      <c r="W77" s="9" t="s">
        <v>349</v>
      </c>
      <c r="X77" s="9" t="s">
        <v>349</v>
      </c>
      <c r="Y77" s="9" t="s">
        <v>349</v>
      </c>
      <c r="Z77" s="9" t="s">
        <v>349</v>
      </c>
      <c r="AA77" s="9" t="s">
        <v>349</v>
      </c>
      <c r="AB77" s="9" t="s">
        <v>349</v>
      </c>
      <c r="AC77" s="9" t="s">
        <v>350</v>
      </c>
      <c r="AD77" s="9" t="s">
        <v>351</v>
      </c>
      <c r="AE77" s="9" t="s">
        <v>352</v>
      </c>
      <c r="AF77" s="9" t="s">
        <v>352</v>
      </c>
      <c r="AG77" s="9" t="s">
        <v>352</v>
      </c>
      <c r="AH77" s="9" t="s">
        <v>352</v>
      </c>
      <c r="AI77" s="9" t="s">
        <v>352</v>
      </c>
      <c r="AJ77" s="9" t="s">
        <v>352</v>
      </c>
      <c r="AK77" s="9" t="s">
        <v>352</v>
      </c>
      <c r="AL77" s="9" t="s">
        <v>352</v>
      </c>
      <c r="AM77" s="9" t="s">
        <v>352</v>
      </c>
      <c r="AN77" s="9" t="s">
        <v>352</v>
      </c>
      <c r="AO77" s="9" t="s">
        <v>353</v>
      </c>
      <c r="AP77" s="9" t="s">
        <v>354</v>
      </c>
      <c r="AQ77" s="9" t="s">
        <v>355</v>
      </c>
      <c r="AR77" s="9" t="s">
        <v>356</v>
      </c>
      <c r="AS77" s="9" t="s">
        <v>357</v>
      </c>
      <c r="AT77" s="9" t="s">
        <v>358</v>
      </c>
      <c r="AU77" s="9" t="s">
        <v>359</v>
      </c>
      <c r="AV77" s="9" t="s">
        <v>360</v>
      </c>
      <c r="AW77" s="9" t="s">
        <v>361</v>
      </c>
      <c r="AX77" s="9" t="s">
        <v>362</v>
      </c>
      <c r="AY77" s="9" t="s">
        <v>362</v>
      </c>
      <c r="AZ77" s="9" t="s">
        <v>363</v>
      </c>
      <c r="BA77" s="9" t="s">
        <v>364</v>
      </c>
      <c r="BB77" s="9" t="s">
        <v>365</v>
      </c>
      <c r="BC77" s="9" t="s">
        <v>366</v>
      </c>
      <c r="BD77" s="9" t="s">
        <v>367</v>
      </c>
      <c r="BE77" s="9" t="s">
        <v>367</v>
      </c>
      <c r="BF77" s="9" t="s">
        <v>368</v>
      </c>
      <c r="BG77" s="9" t="s">
        <v>369</v>
      </c>
      <c r="BH77" s="9" t="s">
        <v>369</v>
      </c>
      <c r="BI77" s="9" t="s">
        <v>369</v>
      </c>
      <c r="BJ77" s="9" t="s">
        <v>369</v>
      </c>
      <c r="BK77" s="9" t="s">
        <v>369</v>
      </c>
      <c r="BL77" s="9" t="s">
        <v>369</v>
      </c>
      <c r="BM77" s="9" t="s">
        <v>369</v>
      </c>
      <c r="BN77" s="9" t="s">
        <v>369</v>
      </c>
      <c r="BO77" s="9" t="s">
        <v>369</v>
      </c>
      <c r="BP77" s="9" t="s">
        <v>369</v>
      </c>
      <c r="BQ77" s="9" t="s">
        <v>370</v>
      </c>
      <c r="BR77" s="9" t="s">
        <v>371</v>
      </c>
      <c r="BS77" s="9" t="s">
        <v>372</v>
      </c>
      <c r="BT77" s="9" t="s">
        <v>373</v>
      </c>
      <c r="BU77" s="9" t="s">
        <v>374</v>
      </c>
      <c r="BV77" s="9" t="s">
        <v>375</v>
      </c>
      <c r="BW77" s="9" t="n">
        <v>0</v>
      </c>
      <c r="BX77" s="9" t="s">
        <v>376</v>
      </c>
      <c r="BY77" s="9" t="s">
        <v>376</v>
      </c>
      <c r="BZ77" s="9" t="s">
        <v>376</v>
      </c>
      <c r="CA77" s="9" t="s">
        <v>376</v>
      </c>
      <c r="CB77" s="9" t="s">
        <v>376</v>
      </c>
      <c r="CC77" s="9" t="s">
        <v>376</v>
      </c>
      <c r="CD77" s="9" t="s">
        <v>376</v>
      </c>
      <c r="CE77" s="9" t="s">
        <v>376</v>
      </c>
      <c r="CF77" s="9" t="s">
        <v>376</v>
      </c>
      <c r="CG77" s="9" t="s">
        <v>376</v>
      </c>
      <c r="CH77" s="9" t="s">
        <v>376</v>
      </c>
      <c r="CI77" s="9" t="s">
        <v>376</v>
      </c>
      <c r="CJ77" s="9" t="s">
        <v>376</v>
      </c>
      <c r="CK77" s="9" t="s">
        <v>376</v>
      </c>
      <c r="CL77" s="9" t="s">
        <v>376</v>
      </c>
      <c r="CM77" s="9" t="s">
        <v>376</v>
      </c>
      <c r="CN77" s="9" t="s">
        <v>376</v>
      </c>
      <c r="CO77" s="9" t="s">
        <v>376</v>
      </c>
      <c r="CP77" s="9" t="s">
        <v>376</v>
      </c>
    </row>
    <row r="78" spans="1:94" ht="15.75" customHeight="1">
      <c r="A78" s="56" t="s">
        <v>327</v>
      </c>
      <c r="B78" s="9" t="n">
        <v>0</v>
      </c>
      <c r="C78" s="9" t="s">
        <v>346</v>
      </c>
      <c r="D78" s="9" t="s">
        <v>346</v>
      </c>
      <c r="E78" s="9" t="s">
        <v>346</v>
      </c>
      <c r="F78" s="9" t="s">
        <v>346</v>
      </c>
      <c r="G78" s="9" t="s">
        <v>346</v>
      </c>
      <c r="H78" s="9" t="s">
        <v>346</v>
      </c>
      <c r="I78" s="9" t="s">
        <v>346</v>
      </c>
      <c r="J78" s="9" t="s">
        <v>346</v>
      </c>
      <c r="K78" s="9" t="s">
        <v>346</v>
      </c>
      <c r="L78" s="9" t="s">
        <v>347</v>
      </c>
      <c r="M78" s="9" t="s">
        <v>348</v>
      </c>
      <c r="N78" s="9" t="s">
        <v>349</v>
      </c>
      <c r="O78" s="9" t="s">
        <v>349</v>
      </c>
      <c r="P78" s="9" t="s">
        <v>349</v>
      </c>
      <c r="Q78" s="9" t="s">
        <v>349</v>
      </c>
      <c r="R78" s="9" t="s">
        <v>349</v>
      </c>
      <c r="S78" s="9" t="s">
        <v>349</v>
      </c>
      <c r="T78" s="9" t="s">
        <v>349</v>
      </c>
      <c r="U78" s="9" t="s">
        <v>349</v>
      </c>
      <c r="V78" s="9" t="s">
        <v>349</v>
      </c>
      <c r="W78" s="9" t="s">
        <v>349</v>
      </c>
      <c r="X78" s="9" t="s">
        <v>349</v>
      </c>
      <c r="Y78" s="9" t="s">
        <v>349</v>
      </c>
      <c r="Z78" s="9" t="s">
        <v>349</v>
      </c>
      <c r="AA78" s="9" t="s">
        <v>349</v>
      </c>
      <c r="AB78" s="9" t="s">
        <v>349</v>
      </c>
      <c r="AC78" s="9" t="s">
        <v>350</v>
      </c>
      <c r="AD78" s="9" t="s">
        <v>351</v>
      </c>
      <c r="AE78" s="9" t="s">
        <v>352</v>
      </c>
      <c r="AF78" s="9" t="s">
        <v>352</v>
      </c>
      <c r="AG78" s="9" t="s">
        <v>352</v>
      </c>
      <c r="AH78" s="9" t="s">
        <v>352</v>
      </c>
      <c r="AI78" s="9" t="s">
        <v>352</v>
      </c>
      <c r="AJ78" s="9" t="s">
        <v>352</v>
      </c>
      <c r="AK78" s="9" t="s">
        <v>352</v>
      </c>
      <c r="AL78" s="9" t="s">
        <v>352</v>
      </c>
      <c r="AM78" s="9" t="s">
        <v>352</v>
      </c>
      <c r="AN78" s="9" t="s">
        <v>352</v>
      </c>
      <c r="AO78" s="9" t="s">
        <v>353</v>
      </c>
      <c r="AP78" s="9" t="s">
        <v>354</v>
      </c>
      <c r="AQ78" s="9" t="s">
        <v>355</v>
      </c>
      <c r="AR78" s="9" t="s">
        <v>356</v>
      </c>
      <c r="AS78" s="9" t="s">
        <v>357</v>
      </c>
      <c r="AT78" s="9" t="s">
        <v>358</v>
      </c>
      <c r="AU78" s="9" t="s">
        <v>359</v>
      </c>
      <c r="AV78" s="9" t="s">
        <v>360</v>
      </c>
      <c r="AW78" s="9" t="s">
        <v>361</v>
      </c>
      <c r="AX78" s="9" t="s">
        <v>362</v>
      </c>
      <c r="AY78" s="9" t="s">
        <v>362</v>
      </c>
      <c r="AZ78" s="9" t="s">
        <v>363</v>
      </c>
      <c r="BA78" s="9" t="s">
        <v>364</v>
      </c>
      <c r="BB78" s="9" t="s">
        <v>365</v>
      </c>
      <c r="BC78" s="9" t="s">
        <v>366</v>
      </c>
      <c r="BD78" s="9" t="s">
        <v>367</v>
      </c>
      <c r="BE78" s="9" t="s">
        <v>367</v>
      </c>
      <c r="BF78" s="9" t="s">
        <v>368</v>
      </c>
      <c r="BG78" s="9" t="s">
        <v>369</v>
      </c>
      <c r="BH78" s="9" t="s">
        <v>369</v>
      </c>
      <c r="BI78" s="9" t="s">
        <v>369</v>
      </c>
      <c r="BJ78" s="9" t="s">
        <v>369</v>
      </c>
      <c r="BK78" s="9" t="s">
        <v>369</v>
      </c>
      <c r="BL78" s="9" t="s">
        <v>369</v>
      </c>
      <c r="BM78" s="9" t="s">
        <v>369</v>
      </c>
      <c r="BN78" s="9" t="s">
        <v>369</v>
      </c>
      <c r="BO78" s="9" t="s">
        <v>369</v>
      </c>
      <c r="BP78" s="9" t="s">
        <v>369</v>
      </c>
      <c r="BQ78" s="9" t="s">
        <v>370</v>
      </c>
      <c r="BR78" s="9" t="s">
        <v>371</v>
      </c>
      <c r="BS78" s="9" t="s">
        <v>372</v>
      </c>
      <c r="BT78" s="9" t="s">
        <v>373</v>
      </c>
      <c r="BU78" s="9" t="s">
        <v>374</v>
      </c>
      <c r="BV78" s="9" t="s">
        <v>375</v>
      </c>
      <c r="BW78" s="9" t="s">
        <v>376</v>
      </c>
      <c r="BX78" s="9" t="n">
        <v>0</v>
      </c>
      <c r="BY78" s="9" t="n">
        <v>0</v>
      </c>
      <c r="BZ78" s="9" t="n">
        <v>0</v>
      </c>
      <c r="CA78" s="9" t="n">
        <v>0</v>
      </c>
      <c r="CB78" s="9" t="n">
        <v>0</v>
      </c>
      <c r="CC78" s="9" t="n">
        <v>0</v>
      </c>
      <c r="CD78" s="9" t="n">
        <v>0</v>
      </c>
      <c r="CE78" s="9" t="n">
        <v>0</v>
      </c>
      <c r="CF78" s="9" t="n">
        <v>0</v>
      </c>
      <c r="CG78" s="9" t="n">
        <v>0</v>
      </c>
      <c r="CH78" s="9" t="n">
        <v>0</v>
      </c>
      <c r="CI78" s="9" t="n">
        <v>0</v>
      </c>
      <c r="CJ78" s="9" t="n">
        <v>0</v>
      </c>
      <c r="CK78" s="9" t="n">
        <v>0</v>
      </c>
      <c r="CL78" s="9" t="n">
        <v>0</v>
      </c>
      <c r="CM78" s="9" t="n">
        <v>0</v>
      </c>
      <c r="CN78" s="9" t="n">
        <v>0</v>
      </c>
      <c r="CO78" s="9" t="n">
        <v>0</v>
      </c>
      <c r="CP78" s="9" t="n">
        <v>0</v>
      </c>
    </row>
    <row r="79" spans="1:94" ht="15.75" customHeight="1">
      <c r="A79" s="56" t="s">
        <v>328</v>
      </c>
      <c r="B79" s="9" t="n">
        <v>0</v>
      </c>
      <c r="C79" s="9" t="s">
        <v>346</v>
      </c>
      <c r="D79" s="9" t="s">
        <v>346</v>
      </c>
      <c r="E79" s="9" t="s">
        <v>346</v>
      </c>
      <c r="F79" s="9" t="s">
        <v>346</v>
      </c>
      <c r="G79" s="9" t="s">
        <v>346</v>
      </c>
      <c r="H79" s="9" t="s">
        <v>346</v>
      </c>
      <c r="I79" s="9" t="s">
        <v>346</v>
      </c>
      <c r="J79" s="9" t="s">
        <v>346</v>
      </c>
      <c r="K79" s="9" t="s">
        <v>346</v>
      </c>
      <c r="L79" s="9" t="s">
        <v>347</v>
      </c>
      <c r="M79" s="9" t="s">
        <v>348</v>
      </c>
      <c r="N79" s="9" t="s">
        <v>349</v>
      </c>
      <c r="O79" s="9" t="s">
        <v>349</v>
      </c>
      <c r="P79" s="9" t="s">
        <v>349</v>
      </c>
      <c r="Q79" s="9" t="s">
        <v>349</v>
      </c>
      <c r="R79" s="9" t="s">
        <v>349</v>
      </c>
      <c r="S79" s="9" t="s">
        <v>349</v>
      </c>
      <c r="T79" s="9" t="s">
        <v>349</v>
      </c>
      <c r="U79" s="9" t="s">
        <v>349</v>
      </c>
      <c r="V79" s="9" t="s">
        <v>349</v>
      </c>
      <c r="W79" s="9" t="s">
        <v>349</v>
      </c>
      <c r="X79" s="9" t="s">
        <v>349</v>
      </c>
      <c r="Y79" s="9" t="s">
        <v>349</v>
      </c>
      <c r="Z79" s="9" t="s">
        <v>349</v>
      </c>
      <c r="AA79" s="9" t="s">
        <v>349</v>
      </c>
      <c r="AB79" s="9" t="s">
        <v>349</v>
      </c>
      <c r="AC79" s="9" t="s">
        <v>350</v>
      </c>
      <c r="AD79" s="9" t="s">
        <v>351</v>
      </c>
      <c r="AE79" s="9" t="s">
        <v>352</v>
      </c>
      <c r="AF79" s="9" t="s">
        <v>352</v>
      </c>
      <c r="AG79" s="9" t="s">
        <v>352</v>
      </c>
      <c r="AH79" s="9" t="s">
        <v>352</v>
      </c>
      <c r="AI79" s="9" t="s">
        <v>352</v>
      </c>
      <c r="AJ79" s="9" t="s">
        <v>352</v>
      </c>
      <c r="AK79" s="9" t="s">
        <v>352</v>
      </c>
      <c r="AL79" s="9" t="s">
        <v>352</v>
      </c>
      <c r="AM79" s="9" t="s">
        <v>352</v>
      </c>
      <c r="AN79" s="9" t="s">
        <v>352</v>
      </c>
      <c r="AO79" s="9" t="s">
        <v>353</v>
      </c>
      <c r="AP79" s="9" t="s">
        <v>354</v>
      </c>
      <c r="AQ79" s="9" t="s">
        <v>355</v>
      </c>
      <c r="AR79" s="9" t="s">
        <v>356</v>
      </c>
      <c r="AS79" s="9" t="s">
        <v>357</v>
      </c>
      <c r="AT79" s="9" t="s">
        <v>358</v>
      </c>
      <c r="AU79" s="9" t="s">
        <v>359</v>
      </c>
      <c r="AV79" s="9" t="s">
        <v>360</v>
      </c>
      <c r="AW79" s="9" t="s">
        <v>361</v>
      </c>
      <c r="AX79" s="9" t="s">
        <v>362</v>
      </c>
      <c r="AY79" s="9" t="s">
        <v>362</v>
      </c>
      <c r="AZ79" s="9" t="s">
        <v>363</v>
      </c>
      <c r="BA79" s="9" t="s">
        <v>364</v>
      </c>
      <c r="BB79" s="9" t="s">
        <v>365</v>
      </c>
      <c r="BC79" s="9" t="s">
        <v>366</v>
      </c>
      <c r="BD79" s="9" t="s">
        <v>367</v>
      </c>
      <c r="BE79" s="9" t="s">
        <v>367</v>
      </c>
      <c r="BF79" s="9" t="s">
        <v>368</v>
      </c>
      <c r="BG79" s="9" t="s">
        <v>369</v>
      </c>
      <c r="BH79" s="9" t="s">
        <v>369</v>
      </c>
      <c r="BI79" s="9" t="s">
        <v>369</v>
      </c>
      <c r="BJ79" s="9" t="s">
        <v>369</v>
      </c>
      <c r="BK79" s="9" t="s">
        <v>369</v>
      </c>
      <c r="BL79" s="9" t="s">
        <v>369</v>
      </c>
      <c r="BM79" s="9" t="s">
        <v>369</v>
      </c>
      <c r="BN79" s="9" t="s">
        <v>369</v>
      </c>
      <c r="BO79" s="9" t="s">
        <v>369</v>
      </c>
      <c r="BP79" s="9" t="s">
        <v>369</v>
      </c>
      <c r="BQ79" s="9" t="s">
        <v>370</v>
      </c>
      <c r="BR79" s="9" t="s">
        <v>371</v>
      </c>
      <c r="BS79" s="9" t="s">
        <v>372</v>
      </c>
      <c r="BT79" s="9" t="s">
        <v>373</v>
      </c>
      <c r="BU79" s="9" t="s">
        <v>374</v>
      </c>
      <c r="BV79" s="9" t="s">
        <v>375</v>
      </c>
      <c r="BW79" s="9" t="s">
        <v>376</v>
      </c>
      <c r="BX79" s="9" t="n">
        <v>0</v>
      </c>
      <c r="BY79" s="9" t="n">
        <v>0</v>
      </c>
      <c r="BZ79" s="9" t="n">
        <v>0</v>
      </c>
      <c r="CA79" s="9" t="n">
        <v>0</v>
      </c>
      <c r="CB79" s="9" t="n">
        <v>0</v>
      </c>
      <c r="CC79" s="9" t="n">
        <v>0</v>
      </c>
      <c r="CD79" s="9" t="n">
        <v>0</v>
      </c>
      <c r="CE79" s="9" t="n">
        <v>0</v>
      </c>
      <c r="CF79" s="9" t="n">
        <v>0</v>
      </c>
      <c r="CG79" s="9" t="n">
        <v>0</v>
      </c>
      <c r="CH79" s="9" t="n">
        <v>0</v>
      </c>
      <c r="CI79" s="9" t="n">
        <v>0</v>
      </c>
      <c r="CJ79" s="9" t="n">
        <v>0</v>
      </c>
      <c r="CK79" s="9" t="n">
        <v>0</v>
      </c>
      <c r="CL79" s="9" t="n">
        <v>0</v>
      </c>
      <c r="CM79" s="9" t="n">
        <v>0</v>
      </c>
      <c r="CN79" s="9" t="n">
        <v>0</v>
      </c>
      <c r="CO79" s="9" t="n">
        <v>0</v>
      </c>
      <c r="CP79" s="9" t="n">
        <v>0</v>
      </c>
    </row>
    <row r="80" spans="1:94" ht="15.75" customHeight="1">
      <c r="A80" s="56" t="s">
        <v>329</v>
      </c>
      <c r="B80" s="9" t="n">
        <v>0</v>
      </c>
      <c r="C80" s="9" t="s">
        <v>346</v>
      </c>
      <c r="D80" s="9" t="s">
        <v>346</v>
      </c>
      <c r="E80" s="9" t="s">
        <v>346</v>
      </c>
      <c r="F80" s="9" t="s">
        <v>346</v>
      </c>
      <c r="G80" s="9" t="s">
        <v>346</v>
      </c>
      <c r="H80" s="9" t="s">
        <v>346</v>
      </c>
      <c r="I80" s="9" t="s">
        <v>346</v>
      </c>
      <c r="J80" s="9" t="s">
        <v>346</v>
      </c>
      <c r="K80" s="9" t="s">
        <v>346</v>
      </c>
      <c r="L80" s="9" t="s">
        <v>347</v>
      </c>
      <c r="M80" s="9" t="s">
        <v>348</v>
      </c>
      <c r="N80" s="9" t="s">
        <v>349</v>
      </c>
      <c r="O80" s="9" t="s">
        <v>349</v>
      </c>
      <c r="P80" s="9" t="s">
        <v>349</v>
      </c>
      <c r="Q80" s="9" t="s">
        <v>349</v>
      </c>
      <c r="R80" s="9" t="s">
        <v>349</v>
      </c>
      <c r="S80" s="9" t="s">
        <v>349</v>
      </c>
      <c r="T80" s="9" t="s">
        <v>349</v>
      </c>
      <c r="U80" s="9" t="s">
        <v>349</v>
      </c>
      <c r="V80" s="9" t="s">
        <v>349</v>
      </c>
      <c r="W80" s="9" t="s">
        <v>349</v>
      </c>
      <c r="X80" s="9" t="s">
        <v>349</v>
      </c>
      <c r="Y80" s="9" t="s">
        <v>349</v>
      </c>
      <c r="Z80" s="9" t="s">
        <v>349</v>
      </c>
      <c r="AA80" s="9" t="s">
        <v>349</v>
      </c>
      <c r="AB80" s="9" t="s">
        <v>349</v>
      </c>
      <c r="AC80" s="9" t="s">
        <v>350</v>
      </c>
      <c r="AD80" s="9" t="s">
        <v>351</v>
      </c>
      <c r="AE80" s="9" t="s">
        <v>352</v>
      </c>
      <c r="AF80" s="9" t="s">
        <v>352</v>
      </c>
      <c r="AG80" s="9" t="s">
        <v>352</v>
      </c>
      <c r="AH80" s="9" t="s">
        <v>352</v>
      </c>
      <c r="AI80" s="9" t="s">
        <v>352</v>
      </c>
      <c r="AJ80" s="9" t="s">
        <v>352</v>
      </c>
      <c r="AK80" s="9" t="s">
        <v>352</v>
      </c>
      <c r="AL80" s="9" t="s">
        <v>352</v>
      </c>
      <c r="AM80" s="9" t="s">
        <v>352</v>
      </c>
      <c r="AN80" s="9" t="s">
        <v>352</v>
      </c>
      <c r="AO80" s="9" t="s">
        <v>353</v>
      </c>
      <c r="AP80" s="9" t="s">
        <v>354</v>
      </c>
      <c r="AQ80" s="9" t="s">
        <v>355</v>
      </c>
      <c r="AR80" s="9" t="s">
        <v>356</v>
      </c>
      <c r="AS80" s="9" t="s">
        <v>357</v>
      </c>
      <c r="AT80" s="9" t="s">
        <v>358</v>
      </c>
      <c r="AU80" s="9" t="s">
        <v>359</v>
      </c>
      <c r="AV80" s="9" t="s">
        <v>360</v>
      </c>
      <c r="AW80" s="9" t="s">
        <v>361</v>
      </c>
      <c r="AX80" s="9" t="s">
        <v>362</v>
      </c>
      <c r="AY80" s="9" t="s">
        <v>362</v>
      </c>
      <c r="AZ80" s="9" t="s">
        <v>363</v>
      </c>
      <c r="BA80" s="9" t="s">
        <v>364</v>
      </c>
      <c r="BB80" s="9" t="s">
        <v>365</v>
      </c>
      <c r="BC80" s="9" t="s">
        <v>366</v>
      </c>
      <c r="BD80" s="9" t="s">
        <v>367</v>
      </c>
      <c r="BE80" s="9" t="s">
        <v>367</v>
      </c>
      <c r="BF80" s="9" t="s">
        <v>368</v>
      </c>
      <c r="BG80" s="9" t="s">
        <v>369</v>
      </c>
      <c r="BH80" s="9" t="s">
        <v>369</v>
      </c>
      <c r="BI80" s="9" t="s">
        <v>369</v>
      </c>
      <c r="BJ80" s="9" t="s">
        <v>369</v>
      </c>
      <c r="BK80" s="9" t="s">
        <v>369</v>
      </c>
      <c r="BL80" s="9" t="s">
        <v>369</v>
      </c>
      <c r="BM80" s="9" t="s">
        <v>369</v>
      </c>
      <c r="BN80" s="9" t="s">
        <v>369</v>
      </c>
      <c r="BO80" s="9" t="s">
        <v>369</v>
      </c>
      <c r="BP80" s="9" t="s">
        <v>369</v>
      </c>
      <c r="BQ80" s="9" t="s">
        <v>370</v>
      </c>
      <c r="BR80" s="9" t="s">
        <v>371</v>
      </c>
      <c r="BS80" s="9" t="s">
        <v>372</v>
      </c>
      <c r="BT80" s="9" t="s">
        <v>373</v>
      </c>
      <c r="BU80" s="9" t="s">
        <v>374</v>
      </c>
      <c r="BV80" s="9" t="s">
        <v>375</v>
      </c>
      <c r="BW80" s="9" t="s">
        <v>376</v>
      </c>
      <c r="BX80" s="9" t="n">
        <v>0</v>
      </c>
      <c r="BY80" s="9" t="n">
        <v>0</v>
      </c>
      <c r="BZ80" s="9" t="n">
        <v>0</v>
      </c>
      <c r="CA80" s="9" t="n">
        <v>0</v>
      </c>
      <c r="CB80" s="9" t="n">
        <v>0</v>
      </c>
      <c r="CC80" s="9" t="n">
        <v>0</v>
      </c>
      <c r="CD80" s="9" t="n">
        <v>0</v>
      </c>
      <c r="CE80" s="9" t="n">
        <v>0</v>
      </c>
      <c r="CF80" s="9" t="n">
        <v>0</v>
      </c>
      <c r="CG80" s="9" t="n">
        <v>0</v>
      </c>
      <c r="CH80" s="9" t="n">
        <v>0</v>
      </c>
      <c r="CI80" s="9" t="n">
        <v>0</v>
      </c>
      <c r="CJ80" s="9" t="n">
        <v>0</v>
      </c>
      <c r="CK80" s="9" t="n">
        <v>0</v>
      </c>
      <c r="CL80" s="9" t="n">
        <v>0</v>
      </c>
      <c r="CM80" s="9" t="n">
        <v>0</v>
      </c>
      <c r="CN80" s="9" t="n">
        <v>0</v>
      </c>
      <c r="CO80" s="9" t="n">
        <v>0</v>
      </c>
      <c r="CP80" s="9" t="n">
        <v>0</v>
      </c>
    </row>
    <row r="81" spans="1:94" ht="15.75" customHeight="1">
      <c r="A81" s="56" t="s">
        <v>330</v>
      </c>
      <c r="B81" s="9" t="n">
        <v>0</v>
      </c>
      <c r="C81" s="9" t="s">
        <v>346</v>
      </c>
      <c r="D81" s="9" t="s">
        <v>346</v>
      </c>
      <c r="E81" s="9" t="s">
        <v>346</v>
      </c>
      <c r="F81" s="9" t="s">
        <v>346</v>
      </c>
      <c r="G81" s="9" t="s">
        <v>346</v>
      </c>
      <c r="H81" s="9" t="s">
        <v>346</v>
      </c>
      <c r="I81" s="9" t="s">
        <v>346</v>
      </c>
      <c r="J81" s="9" t="s">
        <v>346</v>
      </c>
      <c r="K81" s="9" t="s">
        <v>346</v>
      </c>
      <c r="L81" s="9" t="s">
        <v>347</v>
      </c>
      <c r="M81" s="9" t="s">
        <v>348</v>
      </c>
      <c r="N81" s="9" t="s">
        <v>349</v>
      </c>
      <c r="O81" s="9" t="s">
        <v>349</v>
      </c>
      <c r="P81" s="9" t="s">
        <v>349</v>
      </c>
      <c r="Q81" s="9" t="s">
        <v>349</v>
      </c>
      <c r="R81" s="9" t="s">
        <v>349</v>
      </c>
      <c r="S81" s="9" t="s">
        <v>349</v>
      </c>
      <c r="T81" s="9" t="s">
        <v>349</v>
      </c>
      <c r="U81" s="9" t="s">
        <v>349</v>
      </c>
      <c r="V81" s="9" t="s">
        <v>349</v>
      </c>
      <c r="W81" s="9" t="s">
        <v>349</v>
      </c>
      <c r="X81" s="9" t="s">
        <v>349</v>
      </c>
      <c r="Y81" s="9" t="s">
        <v>349</v>
      </c>
      <c r="Z81" s="9" t="s">
        <v>349</v>
      </c>
      <c r="AA81" s="9" t="s">
        <v>349</v>
      </c>
      <c r="AB81" s="9" t="s">
        <v>349</v>
      </c>
      <c r="AC81" s="9" t="s">
        <v>350</v>
      </c>
      <c r="AD81" s="9" t="s">
        <v>351</v>
      </c>
      <c r="AE81" s="9" t="s">
        <v>352</v>
      </c>
      <c r="AF81" s="9" t="s">
        <v>352</v>
      </c>
      <c r="AG81" s="9" t="s">
        <v>352</v>
      </c>
      <c r="AH81" s="9" t="s">
        <v>352</v>
      </c>
      <c r="AI81" s="9" t="s">
        <v>352</v>
      </c>
      <c r="AJ81" s="9" t="s">
        <v>352</v>
      </c>
      <c r="AK81" s="9" t="s">
        <v>352</v>
      </c>
      <c r="AL81" s="9" t="s">
        <v>352</v>
      </c>
      <c r="AM81" s="9" t="s">
        <v>352</v>
      </c>
      <c r="AN81" s="9" t="s">
        <v>352</v>
      </c>
      <c r="AO81" s="9" t="s">
        <v>353</v>
      </c>
      <c r="AP81" s="9" t="s">
        <v>354</v>
      </c>
      <c r="AQ81" s="9" t="s">
        <v>355</v>
      </c>
      <c r="AR81" s="9" t="s">
        <v>356</v>
      </c>
      <c r="AS81" s="9" t="s">
        <v>357</v>
      </c>
      <c r="AT81" s="9" t="s">
        <v>358</v>
      </c>
      <c r="AU81" s="9" t="s">
        <v>359</v>
      </c>
      <c r="AV81" s="9" t="s">
        <v>360</v>
      </c>
      <c r="AW81" s="9" t="s">
        <v>361</v>
      </c>
      <c r="AX81" s="9" t="s">
        <v>362</v>
      </c>
      <c r="AY81" s="9" t="s">
        <v>362</v>
      </c>
      <c r="AZ81" s="9" t="s">
        <v>363</v>
      </c>
      <c r="BA81" s="9" t="s">
        <v>364</v>
      </c>
      <c r="BB81" s="9" t="s">
        <v>365</v>
      </c>
      <c r="BC81" s="9" t="s">
        <v>366</v>
      </c>
      <c r="BD81" s="9" t="s">
        <v>367</v>
      </c>
      <c r="BE81" s="9" t="s">
        <v>367</v>
      </c>
      <c r="BF81" s="9" t="s">
        <v>368</v>
      </c>
      <c r="BG81" s="9" t="s">
        <v>369</v>
      </c>
      <c r="BH81" s="9" t="s">
        <v>369</v>
      </c>
      <c r="BI81" s="9" t="s">
        <v>369</v>
      </c>
      <c r="BJ81" s="9" t="s">
        <v>369</v>
      </c>
      <c r="BK81" s="9" t="s">
        <v>369</v>
      </c>
      <c r="BL81" s="9" t="s">
        <v>369</v>
      </c>
      <c r="BM81" s="9" t="s">
        <v>369</v>
      </c>
      <c r="BN81" s="9" t="s">
        <v>369</v>
      </c>
      <c r="BO81" s="9" t="s">
        <v>369</v>
      </c>
      <c r="BP81" s="9" t="s">
        <v>369</v>
      </c>
      <c r="BQ81" s="9" t="s">
        <v>370</v>
      </c>
      <c r="BR81" s="9" t="s">
        <v>371</v>
      </c>
      <c r="BS81" s="9" t="s">
        <v>372</v>
      </c>
      <c r="BT81" s="9" t="s">
        <v>373</v>
      </c>
      <c r="BU81" s="9" t="s">
        <v>374</v>
      </c>
      <c r="BV81" s="9" t="s">
        <v>375</v>
      </c>
      <c r="BW81" s="9" t="s">
        <v>376</v>
      </c>
      <c r="BX81" s="9" t="n">
        <v>0</v>
      </c>
      <c r="BY81" s="9" t="n">
        <v>0</v>
      </c>
      <c r="BZ81" s="9" t="n">
        <v>0</v>
      </c>
      <c r="CA81" s="9" t="n">
        <v>0</v>
      </c>
      <c r="CB81" s="9" t="n">
        <v>0</v>
      </c>
      <c r="CC81" s="9" t="n">
        <v>0</v>
      </c>
      <c r="CD81" s="9" t="n">
        <v>0</v>
      </c>
      <c r="CE81" s="9" t="n">
        <v>0</v>
      </c>
      <c r="CF81" s="9" t="n">
        <v>0</v>
      </c>
      <c r="CG81" s="9" t="n">
        <v>0</v>
      </c>
      <c r="CH81" s="9" t="n">
        <v>0</v>
      </c>
      <c r="CI81" s="9" t="n">
        <v>0</v>
      </c>
      <c r="CJ81" s="9" t="n">
        <v>0</v>
      </c>
      <c r="CK81" s="9" t="n">
        <v>0</v>
      </c>
      <c r="CL81" s="9" t="n">
        <v>0</v>
      </c>
      <c r="CM81" s="9" t="n">
        <v>0</v>
      </c>
      <c r="CN81" s="9" t="n">
        <v>0</v>
      </c>
      <c r="CO81" s="9" t="n">
        <v>0</v>
      </c>
      <c r="CP81" s="9" t="n">
        <v>0</v>
      </c>
    </row>
    <row r="82" spans="1:94" ht="15.75" customHeight="1">
      <c r="A82" s="56" t="s">
        <v>331</v>
      </c>
      <c r="B82" s="9" t="n">
        <v>0</v>
      </c>
      <c r="C82" s="9" t="s">
        <v>346</v>
      </c>
      <c r="D82" s="9" t="s">
        <v>346</v>
      </c>
      <c r="E82" s="9" t="s">
        <v>346</v>
      </c>
      <c r="F82" s="9" t="s">
        <v>346</v>
      </c>
      <c r="G82" s="9" t="s">
        <v>346</v>
      </c>
      <c r="H82" s="9" t="s">
        <v>346</v>
      </c>
      <c r="I82" s="9" t="s">
        <v>346</v>
      </c>
      <c r="J82" s="9" t="s">
        <v>346</v>
      </c>
      <c r="K82" s="9" t="s">
        <v>346</v>
      </c>
      <c r="L82" s="9" t="s">
        <v>347</v>
      </c>
      <c r="M82" s="9" t="s">
        <v>348</v>
      </c>
      <c r="N82" s="9" t="s">
        <v>349</v>
      </c>
      <c r="O82" s="9" t="s">
        <v>349</v>
      </c>
      <c r="P82" s="9" t="s">
        <v>349</v>
      </c>
      <c r="Q82" s="9" t="s">
        <v>349</v>
      </c>
      <c r="R82" s="9" t="s">
        <v>349</v>
      </c>
      <c r="S82" s="9" t="s">
        <v>349</v>
      </c>
      <c r="T82" s="9" t="s">
        <v>349</v>
      </c>
      <c r="U82" s="9" t="s">
        <v>349</v>
      </c>
      <c r="V82" s="9" t="s">
        <v>349</v>
      </c>
      <c r="W82" s="9" t="s">
        <v>349</v>
      </c>
      <c r="X82" s="9" t="s">
        <v>349</v>
      </c>
      <c r="Y82" s="9" t="s">
        <v>349</v>
      </c>
      <c r="Z82" s="9" t="s">
        <v>349</v>
      </c>
      <c r="AA82" s="9" t="s">
        <v>349</v>
      </c>
      <c r="AB82" s="9" t="s">
        <v>349</v>
      </c>
      <c r="AC82" s="9" t="s">
        <v>350</v>
      </c>
      <c r="AD82" s="9" t="s">
        <v>351</v>
      </c>
      <c r="AE82" s="9" t="s">
        <v>352</v>
      </c>
      <c r="AF82" s="9" t="s">
        <v>352</v>
      </c>
      <c r="AG82" s="9" t="s">
        <v>352</v>
      </c>
      <c r="AH82" s="9" t="s">
        <v>352</v>
      </c>
      <c r="AI82" s="9" t="s">
        <v>352</v>
      </c>
      <c r="AJ82" s="9" t="s">
        <v>352</v>
      </c>
      <c r="AK82" s="9" t="s">
        <v>352</v>
      </c>
      <c r="AL82" s="9" t="s">
        <v>352</v>
      </c>
      <c r="AM82" s="9" t="s">
        <v>352</v>
      </c>
      <c r="AN82" s="9" t="s">
        <v>352</v>
      </c>
      <c r="AO82" s="9" t="s">
        <v>353</v>
      </c>
      <c r="AP82" s="9" t="s">
        <v>354</v>
      </c>
      <c r="AQ82" s="9" t="s">
        <v>355</v>
      </c>
      <c r="AR82" s="9" t="s">
        <v>356</v>
      </c>
      <c r="AS82" s="9" t="s">
        <v>357</v>
      </c>
      <c r="AT82" s="9" t="s">
        <v>358</v>
      </c>
      <c r="AU82" s="9" t="s">
        <v>359</v>
      </c>
      <c r="AV82" s="9" t="s">
        <v>360</v>
      </c>
      <c r="AW82" s="9" t="s">
        <v>361</v>
      </c>
      <c r="AX82" s="9" t="s">
        <v>362</v>
      </c>
      <c r="AY82" s="9" t="s">
        <v>362</v>
      </c>
      <c r="AZ82" s="9" t="s">
        <v>363</v>
      </c>
      <c r="BA82" s="9" t="s">
        <v>364</v>
      </c>
      <c r="BB82" s="9" t="s">
        <v>365</v>
      </c>
      <c r="BC82" s="9" t="s">
        <v>366</v>
      </c>
      <c r="BD82" s="9" t="s">
        <v>367</v>
      </c>
      <c r="BE82" s="9" t="s">
        <v>367</v>
      </c>
      <c r="BF82" s="9" t="s">
        <v>368</v>
      </c>
      <c r="BG82" s="9" t="s">
        <v>369</v>
      </c>
      <c r="BH82" s="9" t="s">
        <v>369</v>
      </c>
      <c r="BI82" s="9" t="s">
        <v>369</v>
      </c>
      <c r="BJ82" s="9" t="s">
        <v>369</v>
      </c>
      <c r="BK82" s="9" t="s">
        <v>369</v>
      </c>
      <c r="BL82" s="9" t="s">
        <v>369</v>
      </c>
      <c r="BM82" s="9" t="s">
        <v>369</v>
      </c>
      <c r="BN82" s="9" t="s">
        <v>369</v>
      </c>
      <c r="BO82" s="9" t="s">
        <v>369</v>
      </c>
      <c r="BP82" s="9" t="s">
        <v>369</v>
      </c>
      <c r="BQ82" s="9" t="s">
        <v>370</v>
      </c>
      <c r="BR82" s="9" t="s">
        <v>371</v>
      </c>
      <c r="BS82" s="9" t="s">
        <v>372</v>
      </c>
      <c r="BT82" s="9" t="s">
        <v>373</v>
      </c>
      <c r="BU82" s="9" t="s">
        <v>374</v>
      </c>
      <c r="BV82" s="9" t="s">
        <v>375</v>
      </c>
      <c r="BW82" s="9" t="s">
        <v>376</v>
      </c>
      <c r="BX82" s="9" t="n">
        <v>0</v>
      </c>
      <c r="BY82" s="9" t="n">
        <v>0</v>
      </c>
      <c r="BZ82" s="9" t="n">
        <v>0</v>
      </c>
      <c r="CA82" s="9" t="n">
        <v>0</v>
      </c>
      <c r="CB82" s="9" t="n">
        <v>0</v>
      </c>
      <c r="CC82" s="9" t="n">
        <v>0</v>
      </c>
      <c r="CD82" s="9" t="n">
        <v>0</v>
      </c>
      <c r="CE82" s="9" t="n">
        <v>0</v>
      </c>
      <c r="CF82" s="9" t="n">
        <v>0</v>
      </c>
      <c r="CG82" s="9" t="n">
        <v>0</v>
      </c>
      <c r="CH82" s="9" t="n">
        <v>0</v>
      </c>
      <c r="CI82" s="9" t="n">
        <v>0</v>
      </c>
      <c r="CJ82" s="9" t="n">
        <v>0</v>
      </c>
      <c r="CK82" s="9" t="n">
        <v>0</v>
      </c>
      <c r="CL82" s="9" t="n">
        <v>0</v>
      </c>
      <c r="CM82" s="9" t="n">
        <v>0</v>
      </c>
      <c r="CN82" s="9" t="n">
        <v>0</v>
      </c>
      <c r="CO82" s="9" t="n">
        <v>0</v>
      </c>
      <c r="CP82" s="9" t="n">
        <v>0</v>
      </c>
    </row>
    <row r="83" spans="1:94" ht="15.75" customHeight="1">
      <c r="A83" s="56" t="s">
        <v>332</v>
      </c>
      <c r="B83" s="9" t="n">
        <v>0</v>
      </c>
      <c r="C83" s="9" t="s">
        <v>346</v>
      </c>
      <c r="D83" s="9" t="s">
        <v>346</v>
      </c>
      <c r="E83" s="9" t="s">
        <v>346</v>
      </c>
      <c r="F83" s="9" t="s">
        <v>346</v>
      </c>
      <c r="G83" s="9" t="s">
        <v>346</v>
      </c>
      <c r="H83" s="9" t="s">
        <v>346</v>
      </c>
      <c r="I83" s="9" t="s">
        <v>346</v>
      </c>
      <c r="J83" s="9" t="s">
        <v>346</v>
      </c>
      <c r="K83" s="9" t="s">
        <v>346</v>
      </c>
      <c r="L83" s="9" t="s">
        <v>347</v>
      </c>
      <c r="M83" s="9" t="s">
        <v>348</v>
      </c>
      <c r="N83" s="9" t="s">
        <v>349</v>
      </c>
      <c r="O83" s="9" t="s">
        <v>349</v>
      </c>
      <c r="P83" s="9" t="s">
        <v>349</v>
      </c>
      <c r="Q83" s="9" t="s">
        <v>349</v>
      </c>
      <c r="R83" s="9" t="s">
        <v>349</v>
      </c>
      <c r="S83" s="9" t="s">
        <v>349</v>
      </c>
      <c r="T83" s="9" t="s">
        <v>349</v>
      </c>
      <c r="U83" s="9" t="s">
        <v>349</v>
      </c>
      <c r="V83" s="9" t="s">
        <v>349</v>
      </c>
      <c r="W83" s="9" t="s">
        <v>349</v>
      </c>
      <c r="X83" s="9" t="s">
        <v>349</v>
      </c>
      <c r="Y83" s="9" t="s">
        <v>349</v>
      </c>
      <c r="Z83" s="9" t="s">
        <v>349</v>
      </c>
      <c r="AA83" s="9" t="s">
        <v>349</v>
      </c>
      <c r="AB83" s="9" t="s">
        <v>349</v>
      </c>
      <c r="AC83" s="9" t="s">
        <v>350</v>
      </c>
      <c r="AD83" s="9" t="s">
        <v>351</v>
      </c>
      <c r="AE83" s="9" t="s">
        <v>352</v>
      </c>
      <c r="AF83" s="9" t="s">
        <v>352</v>
      </c>
      <c r="AG83" s="9" t="s">
        <v>352</v>
      </c>
      <c r="AH83" s="9" t="s">
        <v>352</v>
      </c>
      <c r="AI83" s="9" t="s">
        <v>352</v>
      </c>
      <c r="AJ83" s="9" t="s">
        <v>352</v>
      </c>
      <c r="AK83" s="9" t="s">
        <v>352</v>
      </c>
      <c r="AL83" s="9" t="s">
        <v>352</v>
      </c>
      <c r="AM83" s="9" t="s">
        <v>352</v>
      </c>
      <c r="AN83" s="9" t="s">
        <v>352</v>
      </c>
      <c r="AO83" s="9" t="s">
        <v>353</v>
      </c>
      <c r="AP83" s="9" t="s">
        <v>354</v>
      </c>
      <c r="AQ83" s="9" t="s">
        <v>355</v>
      </c>
      <c r="AR83" s="9" t="s">
        <v>356</v>
      </c>
      <c r="AS83" s="9" t="s">
        <v>357</v>
      </c>
      <c r="AT83" s="9" t="s">
        <v>358</v>
      </c>
      <c r="AU83" s="9" t="s">
        <v>359</v>
      </c>
      <c r="AV83" s="9" t="s">
        <v>360</v>
      </c>
      <c r="AW83" s="9" t="s">
        <v>361</v>
      </c>
      <c r="AX83" s="9" t="s">
        <v>362</v>
      </c>
      <c r="AY83" s="9" t="s">
        <v>362</v>
      </c>
      <c r="AZ83" s="9" t="s">
        <v>363</v>
      </c>
      <c r="BA83" s="9" t="s">
        <v>364</v>
      </c>
      <c r="BB83" s="9" t="s">
        <v>365</v>
      </c>
      <c r="BC83" s="9" t="s">
        <v>366</v>
      </c>
      <c r="BD83" s="9" t="s">
        <v>367</v>
      </c>
      <c r="BE83" s="9" t="s">
        <v>367</v>
      </c>
      <c r="BF83" s="9" t="s">
        <v>368</v>
      </c>
      <c r="BG83" s="9" t="s">
        <v>369</v>
      </c>
      <c r="BH83" s="9" t="s">
        <v>369</v>
      </c>
      <c r="BI83" s="9" t="s">
        <v>369</v>
      </c>
      <c r="BJ83" s="9" t="s">
        <v>369</v>
      </c>
      <c r="BK83" s="9" t="s">
        <v>369</v>
      </c>
      <c r="BL83" s="9" t="s">
        <v>369</v>
      </c>
      <c r="BM83" s="9" t="s">
        <v>369</v>
      </c>
      <c r="BN83" s="9" t="s">
        <v>369</v>
      </c>
      <c r="BO83" s="9" t="s">
        <v>369</v>
      </c>
      <c r="BP83" s="9" t="s">
        <v>369</v>
      </c>
      <c r="BQ83" s="9" t="s">
        <v>370</v>
      </c>
      <c r="BR83" s="9" t="s">
        <v>371</v>
      </c>
      <c r="BS83" s="9" t="s">
        <v>372</v>
      </c>
      <c r="BT83" s="9" t="s">
        <v>373</v>
      </c>
      <c r="BU83" s="9" t="s">
        <v>374</v>
      </c>
      <c r="BV83" s="9" t="s">
        <v>375</v>
      </c>
      <c r="BW83" s="9" t="s">
        <v>376</v>
      </c>
      <c r="BX83" s="9" t="n">
        <v>0</v>
      </c>
      <c r="BY83" s="9" t="n">
        <v>0</v>
      </c>
      <c r="BZ83" s="9" t="n">
        <v>0</v>
      </c>
      <c r="CA83" s="9" t="n">
        <v>0</v>
      </c>
      <c r="CB83" s="9" t="n">
        <v>0</v>
      </c>
      <c r="CC83" s="9" t="n">
        <v>0</v>
      </c>
      <c r="CD83" s="9" t="n">
        <v>0</v>
      </c>
      <c r="CE83" s="9" t="n">
        <v>0</v>
      </c>
      <c r="CF83" s="9" t="n">
        <v>0</v>
      </c>
      <c r="CG83" s="9" t="n">
        <v>0</v>
      </c>
      <c r="CH83" s="9" t="n">
        <v>0</v>
      </c>
      <c r="CI83" s="9" t="n">
        <v>0</v>
      </c>
      <c r="CJ83" s="9" t="n">
        <v>0</v>
      </c>
      <c r="CK83" s="9" t="n">
        <v>0</v>
      </c>
      <c r="CL83" s="9" t="n">
        <v>0</v>
      </c>
      <c r="CM83" s="9" t="n">
        <v>0</v>
      </c>
      <c r="CN83" s="9" t="n">
        <v>0</v>
      </c>
      <c r="CO83" s="9" t="n">
        <v>0</v>
      </c>
      <c r="CP83" s="9" t="n">
        <v>0</v>
      </c>
    </row>
    <row r="84" spans="1:94" ht="15.75" customHeight="1">
      <c r="A84" s="56" t="s">
        <v>333</v>
      </c>
      <c r="B84" s="9" t="n">
        <v>0</v>
      </c>
      <c r="C84" s="9" t="s">
        <v>346</v>
      </c>
      <c r="D84" s="9" t="s">
        <v>346</v>
      </c>
      <c r="E84" s="9" t="s">
        <v>346</v>
      </c>
      <c r="F84" s="9" t="s">
        <v>346</v>
      </c>
      <c r="G84" s="9" t="s">
        <v>346</v>
      </c>
      <c r="H84" s="9" t="s">
        <v>346</v>
      </c>
      <c r="I84" s="9" t="s">
        <v>346</v>
      </c>
      <c r="J84" s="9" t="s">
        <v>346</v>
      </c>
      <c r="K84" s="9" t="s">
        <v>346</v>
      </c>
      <c r="L84" s="9" t="s">
        <v>347</v>
      </c>
      <c r="M84" s="9" t="s">
        <v>348</v>
      </c>
      <c r="N84" s="9" t="s">
        <v>349</v>
      </c>
      <c r="O84" s="9" t="s">
        <v>349</v>
      </c>
      <c r="P84" s="9" t="s">
        <v>349</v>
      </c>
      <c r="Q84" s="9" t="s">
        <v>349</v>
      </c>
      <c r="R84" s="9" t="s">
        <v>349</v>
      </c>
      <c r="S84" s="9" t="s">
        <v>349</v>
      </c>
      <c r="T84" s="9" t="s">
        <v>349</v>
      </c>
      <c r="U84" s="9" t="s">
        <v>349</v>
      </c>
      <c r="V84" s="9" t="s">
        <v>349</v>
      </c>
      <c r="W84" s="9" t="s">
        <v>349</v>
      </c>
      <c r="X84" s="9" t="s">
        <v>349</v>
      </c>
      <c r="Y84" s="9" t="s">
        <v>349</v>
      </c>
      <c r="Z84" s="9" t="s">
        <v>349</v>
      </c>
      <c r="AA84" s="9" t="s">
        <v>349</v>
      </c>
      <c r="AB84" s="9" t="s">
        <v>349</v>
      </c>
      <c r="AC84" s="9" t="s">
        <v>350</v>
      </c>
      <c r="AD84" s="9" t="s">
        <v>351</v>
      </c>
      <c r="AE84" s="9" t="s">
        <v>352</v>
      </c>
      <c r="AF84" s="9" t="s">
        <v>352</v>
      </c>
      <c r="AG84" s="9" t="s">
        <v>352</v>
      </c>
      <c r="AH84" s="9" t="s">
        <v>352</v>
      </c>
      <c r="AI84" s="9" t="s">
        <v>352</v>
      </c>
      <c r="AJ84" s="9" t="s">
        <v>352</v>
      </c>
      <c r="AK84" s="9" t="s">
        <v>352</v>
      </c>
      <c r="AL84" s="9" t="s">
        <v>352</v>
      </c>
      <c r="AM84" s="9" t="s">
        <v>352</v>
      </c>
      <c r="AN84" s="9" t="s">
        <v>352</v>
      </c>
      <c r="AO84" s="9" t="s">
        <v>353</v>
      </c>
      <c r="AP84" s="9" t="s">
        <v>354</v>
      </c>
      <c r="AQ84" s="9" t="s">
        <v>355</v>
      </c>
      <c r="AR84" s="9" t="s">
        <v>356</v>
      </c>
      <c r="AS84" s="9" t="s">
        <v>357</v>
      </c>
      <c r="AT84" s="9" t="s">
        <v>358</v>
      </c>
      <c r="AU84" s="9" t="s">
        <v>359</v>
      </c>
      <c r="AV84" s="9" t="s">
        <v>360</v>
      </c>
      <c r="AW84" s="9" t="s">
        <v>361</v>
      </c>
      <c r="AX84" s="9" t="s">
        <v>362</v>
      </c>
      <c r="AY84" s="9" t="s">
        <v>362</v>
      </c>
      <c r="AZ84" s="9" t="s">
        <v>363</v>
      </c>
      <c r="BA84" s="9" t="s">
        <v>364</v>
      </c>
      <c r="BB84" s="9" t="s">
        <v>365</v>
      </c>
      <c r="BC84" s="9" t="s">
        <v>366</v>
      </c>
      <c r="BD84" s="9" t="s">
        <v>367</v>
      </c>
      <c r="BE84" s="9" t="s">
        <v>367</v>
      </c>
      <c r="BF84" s="9" t="s">
        <v>368</v>
      </c>
      <c r="BG84" s="9" t="s">
        <v>369</v>
      </c>
      <c r="BH84" s="9" t="s">
        <v>369</v>
      </c>
      <c r="BI84" s="9" t="s">
        <v>369</v>
      </c>
      <c r="BJ84" s="9" t="s">
        <v>369</v>
      </c>
      <c r="BK84" s="9" t="s">
        <v>369</v>
      </c>
      <c r="BL84" s="9" t="s">
        <v>369</v>
      </c>
      <c r="BM84" s="9" t="s">
        <v>369</v>
      </c>
      <c r="BN84" s="9" t="s">
        <v>369</v>
      </c>
      <c r="BO84" s="9" t="s">
        <v>369</v>
      </c>
      <c r="BP84" s="9" t="s">
        <v>369</v>
      </c>
      <c r="BQ84" s="9" t="s">
        <v>370</v>
      </c>
      <c r="BR84" s="9" t="s">
        <v>371</v>
      </c>
      <c r="BS84" s="9" t="s">
        <v>372</v>
      </c>
      <c r="BT84" s="9" t="s">
        <v>373</v>
      </c>
      <c r="BU84" s="9" t="s">
        <v>374</v>
      </c>
      <c r="BV84" s="9" t="s">
        <v>375</v>
      </c>
      <c r="BW84" s="9" t="s">
        <v>376</v>
      </c>
      <c r="BX84" s="9" t="n">
        <v>0</v>
      </c>
      <c r="BY84" s="9" t="n">
        <v>0</v>
      </c>
      <c r="BZ84" s="9" t="n">
        <v>0</v>
      </c>
      <c r="CA84" s="9" t="n">
        <v>0</v>
      </c>
      <c r="CB84" s="9" t="n">
        <v>0</v>
      </c>
      <c r="CC84" s="9" t="n">
        <v>0</v>
      </c>
      <c r="CD84" s="9" t="n">
        <v>0</v>
      </c>
      <c r="CE84" s="9" t="n">
        <v>0</v>
      </c>
      <c r="CF84" s="9" t="n">
        <v>0</v>
      </c>
      <c r="CG84" s="9" t="n">
        <v>0</v>
      </c>
      <c r="CH84" s="9" t="n">
        <v>0</v>
      </c>
      <c r="CI84" s="9" t="n">
        <v>0</v>
      </c>
      <c r="CJ84" s="9" t="n">
        <v>0</v>
      </c>
      <c r="CK84" s="9" t="n">
        <v>0</v>
      </c>
      <c r="CL84" s="9" t="n">
        <v>0</v>
      </c>
      <c r="CM84" s="9" t="n">
        <v>0</v>
      </c>
      <c r="CN84" s="9" t="n">
        <v>0</v>
      </c>
      <c r="CO84" s="9" t="n">
        <v>0</v>
      </c>
      <c r="CP84" s="9" t="n">
        <v>0</v>
      </c>
    </row>
    <row r="85" spans="1:94" ht="15.75" customHeight="1">
      <c r="A85" s="56" t="s">
        <v>334</v>
      </c>
      <c r="B85" s="9" t="n">
        <v>0</v>
      </c>
      <c r="C85" s="9" t="s">
        <v>346</v>
      </c>
      <c r="D85" s="9" t="s">
        <v>346</v>
      </c>
      <c r="E85" s="9" t="s">
        <v>346</v>
      </c>
      <c r="F85" s="9" t="s">
        <v>346</v>
      </c>
      <c r="G85" s="9" t="s">
        <v>346</v>
      </c>
      <c r="H85" s="9" t="s">
        <v>346</v>
      </c>
      <c r="I85" s="9" t="s">
        <v>346</v>
      </c>
      <c r="J85" s="9" t="s">
        <v>346</v>
      </c>
      <c r="K85" s="9" t="s">
        <v>346</v>
      </c>
      <c r="L85" s="9" t="s">
        <v>347</v>
      </c>
      <c r="M85" s="9" t="s">
        <v>348</v>
      </c>
      <c r="N85" s="9" t="s">
        <v>349</v>
      </c>
      <c r="O85" s="9" t="s">
        <v>349</v>
      </c>
      <c r="P85" s="9" t="s">
        <v>349</v>
      </c>
      <c r="Q85" s="9" t="s">
        <v>349</v>
      </c>
      <c r="R85" s="9" t="s">
        <v>349</v>
      </c>
      <c r="S85" s="9" t="s">
        <v>349</v>
      </c>
      <c r="T85" s="9" t="s">
        <v>349</v>
      </c>
      <c r="U85" s="9" t="s">
        <v>349</v>
      </c>
      <c r="V85" s="9" t="s">
        <v>349</v>
      </c>
      <c r="W85" s="9" t="s">
        <v>349</v>
      </c>
      <c r="X85" s="9" t="s">
        <v>349</v>
      </c>
      <c r="Y85" s="9" t="s">
        <v>349</v>
      </c>
      <c r="Z85" s="9" t="s">
        <v>349</v>
      </c>
      <c r="AA85" s="9" t="s">
        <v>349</v>
      </c>
      <c r="AB85" s="9" t="s">
        <v>349</v>
      </c>
      <c r="AC85" s="9" t="s">
        <v>350</v>
      </c>
      <c r="AD85" s="9" t="s">
        <v>351</v>
      </c>
      <c r="AE85" s="9" t="s">
        <v>352</v>
      </c>
      <c r="AF85" s="9" t="s">
        <v>352</v>
      </c>
      <c r="AG85" s="9" t="s">
        <v>352</v>
      </c>
      <c r="AH85" s="9" t="s">
        <v>352</v>
      </c>
      <c r="AI85" s="9" t="s">
        <v>352</v>
      </c>
      <c r="AJ85" s="9" t="s">
        <v>352</v>
      </c>
      <c r="AK85" s="9" t="s">
        <v>352</v>
      </c>
      <c r="AL85" s="9" t="s">
        <v>352</v>
      </c>
      <c r="AM85" s="9" t="s">
        <v>352</v>
      </c>
      <c r="AN85" s="9" t="s">
        <v>352</v>
      </c>
      <c r="AO85" s="9" t="s">
        <v>353</v>
      </c>
      <c r="AP85" s="9" t="s">
        <v>354</v>
      </c>
      <c r="AQ85" s="9" t="s">
        <v>355</v>
      </c>
      <c r="AR85" s="9" t="s">
        <v>356</v>
      </c>
      <c r="AS85" s="9" t="s">
        <v>357</v>
      </c>
      <c r="AT85" s="9" t="s">
        <v>358</v>
      </c>
      <c r="AU85" s="9" t="s">
        <v>359</v>
      </c>
      <c r="AV85" s="9" t="s">
        <v>360</v>
      </c>
      <c r="AW85" s="9" t="s">
        <v>361</v>
      </c>
      <c r="AX85" s="9" t="s">
        <v>362</v>
      </c>
      <c r="AY85" s="9" t="s">
        <v>362</v>
      </c>
      <c r="AZ85" s="9" t="s">
        <v>363</v>
      </c>
      <c r="BA85" s="9" t="s">
        <v>364</v>
      </c>
      <c r="BB85" s="9" t="s">
        <v>365</v>
      </c>
      <c r="BC85" s="9" t="s">
        <v>366</v>
      </c>
      <c r="BD85" s="9" t="s">
        <v>367</v>
      </c>
      <c r="BE85" s="9" t="s">
        <v>367</v>
      </c>
      <c r="BF85" s="9" t="s">
        <v>368</v>
      </c>
      <c r="BG85" s="9" t="s">
        <v>369</v>
      </c>
      <c r="BH85" s="9" t="s">
        <v>369</v>
      </c>
      <c r="BI85" s="9" t="s">
        <v>369</v>
      </c>
      <c r="BJ85" s="9" t="s">
        <v>369</v>
      </c>
      <c r="BK85" s="9" t="s">
        <v>369</v>
      </c>
      <c r="BL85" s="9" t="s">
        <v>369</v>
      </c>
      <c r="BM85" s="9" t="s">
        <v>369</v>
      </c>
      <c r="BN85" s="9" t="s">
        <v>369</v>
      </c>
      <c r="BO85" s="9" t="s">
        <v>369</v>
      </c>
      <c r="BP85" s="9" t="s">
        <v>369</v>
      </c>
      <c r="BQ85" s="9" t="s">
        <v>370</v>
      </c>
      <c r="BR85" s="9" t="s">
        <v>371</v>
      </c>
      <c r="BS85" s="9" t="s">
        <v>372</v>
      </c>
      <c r="BT85" s="9" t="s">
        <v>373</v>
      </c>
      <c r="BU85" s="9" t="s">
        <v>374</v>
      </c>
      <c r="BV85" s="9" t="s">
        <v>375</v>
      </c>
      <c r="BW85" s="9" t="s">
        <v>376</v>
      </c>
      <c r="BX85" s="9" t="n">
        <v>0</v>
      </c>
      <c r="BY85" s="9" t="n">
        <v>0</v>
      </c>
      <c r="BZ85" s="9" t="n">
        <v>0</v>
      </c>
      <c r="CA85" s="9" t="n">
        <v>0</v>
      </c>
      <c r="CB85" s="9" t="n">
        <v>0</v>
      </c>
      <c r="CC85" s="9" t="n">
        <v>0</v>
      </c>
      <c r="CD85" s="9" t="n">
        <v>0</v>
      </c>
      <c r="CE85" s="9" t="n">
        <v>0</v>
      </c>
      <c r="CF85" s="9" t="n">
        <v>0</v>
      </c>
      <c r="CG85" s="9" t="n">
        <v>0</v>
      </c>
      <c r="CH85" s="9" t="n">
        <v>0</v>
      </c>
      <c r="CI85" s="9" t="n">
        <v>0</v>
      </c>
      <c r="CJ85" s="9" t="n">
        <v>0</v>
      </c>
      <c r="CK85" s="9" t="n">
        <v>0</v>
      </c>
      <c r="CL85" s="9" t="n">
        <v>0</v>
      </c>
      <c r="CM85" s="9" t="n">
        <v>0</v>
      </c>
      <c r="CN85" s="9" t="n">
        <v>0</v>
      </c>
      <c r="CO85" s="9" t="n">
        <v>0</v>
      </c>
      <c r="CP85" s="9" t="n">
        <v>0</v>
      </c>
    </row>
    <row r="86" spans="1:94" ht="15.75" customHeight="1">
      <c r="A86" s="56" t="s">
        <v>335</v>
      </c>
      <c r="B86" s="9" t="n">
        <v>0</v>
      </c>
      <c r="C86" s="9" t="s">
        <v>346</v>
      </c>
      <c r="D86" s="9" t="s">
        <v>346</v>
      </c>
      <c r="E86" s="9" t="s">
        <v>346</v>
      </c>
      <c r="F86" s="9" t="s">
        <v>346</v>
      </c>
      <c r="G86" s="9" t="s">
        <v>346</v>
      </c>
      <c r="H86" s="9" t="s">
        <v>346</v>
      </c>
      <c r="I86" s="9" t="s">
        <v>346</v>
      </c>
      <c r="J86" s="9" t="s">
        <v>346</v>
      </c>
      <c r="K86" s="9" t="s">
        <v>346</v>
      </c>
      <c r="L86" s="9" t="s">
        <v>347</v>
      </c>
      <c r="M86" s="9" t="s">
        <v>348</v>
      </c>
      <c r="N86" s="9" t="s">
        <v>349</v>
      </c>
      <c r="O86" s="9" t="s">
        <v>349</v>
      </c>
      <c r="P86" s="9" t="s">
        <v>349</v>
      </c>
      <c r="Q86" s="9" t="s">
        <v>349</v>
      </c>
      <c r="R86" s="9" t="s">
        <v>349</v>
      </c>
      <c r="S86" s="9" t="s">
        <v>349</v>
      </c>
      <c r="T86" s="9" t="s">
        <v>349</v>
      </c>
      <c r="U86" s="9" t="s">
        <v>349</v>
      </c>
      <c r="V86" s="9" t="s">
        <v>349</v>
      </c>
      <c r="W86" s="9" t="s">
        <v>349</v>
      </c>
      <c r="X86" s="9" t="s">
        <v>349</v>
      </c>
      <c r="Y86" s="9" t="s">
        <v>349</v>
      </c>
      <c r="Z86" s="9" t="s">
        <v>349</v>
      </c>
      <c r="AA86" s="9" t="s">
        <v>349</v>
      </c>
      <c r="AB86" s="9" t="s">
        <v>349</v>
      </c>
      <c r="AC86" s="9" t="s">
        <v>350</v>
      </c>
      <c r="AD86" s="9" t="s">
        <v>351</v>
      </c>
      <c r="AE86" s="9" t="s">
        <v>352</v>
      </c>
      <c r="AF86" s="9" t="s">
        <v>352</v>
      </c>
      <c r="AG86" s="9" t="s">
        <v>352</v>
      </c>
      <c r="AH86" s="9" t="s">
        <v>352</v>
      </c>
      <c r="AI86" s="9" t="s">
        <v>352</v>
      </c>
      <c r="AJ86" s="9" t="s">
        <v>352</v>
      </c>
      <c r="AK86" s="9" t="s">
        <v>352</v>
      </c>
      <c r="AL86" s="9" t="s">
        <v>352</v>
      </c>
      <c r="AM86" s="9" t="s">
        <v>352</v>
      </c>
      <c r="AN86" s="9" t="s">
        <v>352</v>
      </c>
      <c r="AO86" s="9" t="s">
        <v>353</v>
      </c>
      <c r="AP86" s="9" t="s">
        <v>354</v>
      </c>
      <c r="AQ86" s="9" t="s">
        <v>355</v>
      </c>
      <c r="AR86" s="9" t="s">
        <v>356</v>
      </c>
      <c r="AS86" s="9" t="s">
        <v>357</v>
      </c>
      <c r="AT86" s="9" t="s">
        <v>358</v>
      </c>
      <c r="AU86" s="9" t="s">
        <v>359</v>
      </c>
      <c r="AV86" s="9" t="s">
        <v>360</v>
      </c>
      <c r="AW86" s="9" t="s">
        <v>361</v>
      </c>
      <c r="AX86" s="9" t="s">
        <v>362</v>
      </c>
      <c r="AY86" s="9" t="s">
        <v>362</v>
      </c>
      <c r="AZ86" s="9" t="s">
        <v>363</v>
      </c>
      <c r="BA86" s="9" t="s">
        <v>364</v>
      </c>
      <c r="BB86" s="9" t="s">
        <v>365</v>
      </c>
      <c r="BC86" s="9" t="s">
        <v>366</v>
      </c>
      <c r="BD86" s="9" t="s">
        <v>367</v>
      </c>
      <c r="BE86" s="9" t="s">
        <v>367</v>
      </c>
      <c r="BF86" s="9" t="s">
        <v>368</v>
      </c>
      <c r="BG86" s="9" t="s">
        <v>369</v>
      </c>
      <c r="BH86" s="9" t="s">
        <v>369</v>
      </c>
      <c r="BI86" s="9" t="s">
        <v>369</v>
      </c>
      <c r="BJ86" s="9" t="s">
        <v>369</v>
      </c>
      <c r="BK86" s="9" t="s">
        <v>369</v>
      </c>
      <c r="BL86" s="9" t="s">
        <v>369</v>
      </c>
      <c r="BM86" s="9" t="s">
        <v>369</v>
      </c>
      <c r="BN86" s="9" t="s">
        <v>369</v>
      </c>
      <c r="BO86" s="9" t="s">
        <v>369</v>
      </c>
      <c r="BP86" s="9" t="s">
        <v>369</v>
      </c>
      <c r="BQ86" s="9" t="s">
        <v>370</v>
      </c>
      <c r="BR86" s="9" t="s">
        <v>371</v>
      </c>
      <c r="BS86" s="9" t="s">
        <v>372</v>
      </c>
      <c r="BT86" s="9" t="s">
        <v>373</v>
      </c>
      <c r="BU86" s="9" t="s">
        <v>374</v>
      </c>
      <c r="BV86" s="9" t="s">
        <v>375</v>
      </c>
      <c r="BW86" s="9" t="s">
        <v>376</v>
      </c>
      <c r="BX86" s="9" t="n">
        <v>0</v>
      </c>
      <c r="BY86" s="9" t="n">
        <v>0</v>
      </c>
      <c r="BZ86" s="9" t="n">
        <v>0</v>
      </c>
      <c r="CA86" s="9" t="n">
        <v>0</v>
      </c>
      <c r="CB86" s="9" t="n">
        <v>0</v>
      </c>
      <c r="CC86" s="9" t="n">
        <v>0</v>
      </c>
      <c r="CD86" s="9" t="n">
        <v>0</v>
      </c>
      <c r="CE86" s="9" t="n">
        <v>0</v>
      </c>
      <c r="CF86" s="9" t="n">
        <v>0</v>
      </c>
      <c r="CG86" s="9" t="n">
        <v>0</v>
      </c>
      <c r="CH86" s="9" t="n">
        <v>0</v>
      </c>
      <c r="CI86" s="9" t="n">
        <v>0</v>
      </c>
      <c r="CJ86" s="9" t="n">
        <v>0</v>
      </c>
      <c r="CK86" s="9" t="n">
        <v>0</v>
      </c>
      <c r="CL86" s="9" t="n">
        <v>0</v>
      </c>
      <c r="CM86" s="9" t="n">
        <v>0</v>
      </c>
      <c r="CN86" s="9" t="n">
        <v>0</v>
      </c>
      <c r="CO86" s="9" t="n">
        <v>0</v>
      </c>
      <c r="CP86" s="9" t="n">
        <v>0</v>
      </c>
    </row>
    <row r="87" spans="1:94" ht="15.75" customHeight="1">
      <c r="A87" s="56" t="s">
        <v>336</v>
      </c>
      <c r="B87" s="9" t="n">
        <v>0</v>
      </c>
      <c r="C87" s="9" t="s">
        <v>346</v>
      </c>
      <c r="D87" s="9" t="s">
        <v>346</v>
      </c>
      <c r="E87" s="9" t="s">
        <v>346</v>
      </c>
      <c r="F87" s="9" t="s">
        <v>346</v>
      </c>
      <c r="G87" s="9" t="s">
        <v>346</v>
      </c>
      <c r="H87" s="9" t="s">
        <v>346</v>
      </c>
      <c r="I87" s="9" t="s">
        <v>346</v>
      </c>
      <c r="J87" s="9" t="s">
        <v>346</v>
      </c>
      <c r="K87" s="9" t="s">
        <v>346</v>
      </c>
      <c r="L87" s="9" t="s">
        <v>347</v>
      </c>
      <c r="M87" s="9" t="s">
        <v>348</v>
      </c>
      <c r="N87" s="9" t="s">
        <v>349</v>
      </c>
      <c r="O87" s="9" t="s">
        <v>349</v>
      </c>
      <c r="P87" s="9" t="s">
        <v>349</v>
      </c>
      <c r="Q87" s="9" t="s">
        <v>349</v>
      </c>
      <c r="R87" s="9" t="s">
        <v>349</v>
      </c>
      <c r="S87" s="9" t="s">
        <v>349</v>
      </c>
      <c r="T87" s="9" t="s">
        <v>349</v>
      </c>
      <c r="U87" s="9" t="s">
        <v>349</v>
      </c>
      <c r="V87" s="9" t="s">
        <v>349</v>
      </c>
      <c r="W87" s="9" t="s">
        <v>349</v>
      </c>
      <c r="X87" s="9" t="s">
        <v>349</v>
      </c>
      <c r="Y87" s="9" t="s">
        <v>349</v>
      </c>
      <c r="Z87" s="9" t="s">
        <v>349</v>
      </c>
      <c r="AA87" s="9" t="s">
        <v>349</v>
      </c>
      <c r="AB87" s="9" t="s">
        <v>349</v>
      </c>
      <c r="AC87" s="9" t="s">
        <v>350</v>
      </c>
      <c r="AD87" s="9" t="s">
        <v>351</v>
      </c>
      <c r="AE87" s="9" t="s">
        <v>352</v>
      </c>
      <c r="AF87" s="9" t="s">
        <v>352</v>
      </c>
      <c r="AG87" s="9" t="s">
        <v>352</v>
      </c>
      <c r="AH87" s="9" t="s">
        <v>352</v>
      </c>
      <c r="AI87" s="9" t="s">
        <v>352</v>
      </c>
      <c r="AJ87" s="9" t="s">
        <v>352</v>
      </c>
      <c r="AK87" s="9" t="s">
        <v>352</v>
      </c>
      <c r="AL87" s="9" t="s">
        <v>352</v>
      </c>
      <c r="AM87" s="9" t="s">
        <v>352</v>
      </c>
      <c r="AN87" s="9" t="s">
        <v>352</v>
      </c>
      <c r="AO87" s="9" t="s">
        <v>353</v>
      </c>
      <c r="AP87" s="9" t="s">
        <v>354</v>
      </c>
      <c r="AQ87" s="9" t="s">
        <v>355</v>
      </c>
      <c r="AR87" s="9" t="s">
        <v>356</v>
      </c>
      <c r="AS87" s="9" t="s">
        <v>357</v>
      </c>
      <c r="AT87" s="9" t="s">
        <v>358</v>
      </c>
      <c r="AU87" s="9" t="s">
        <v>359</v>
      </c>
      <c r="AV87" s="9" t="s">
        <v>360</v>
      </c>
      <c r="AW87" s="9" t="s">
        <v>361</v>
      </c>
      <c r="AX87" s="9" t="s">
        <v>362</v>
      </c>
      <c r="AY87" s="9" t="s">
        <v>362</v>
      </c>
      <c r="AZ87" s="9" t="s">
        <v>363</v>
      </c>
      <c r="BA87" s="9" t="s">
        <v>364</v>
      </c>
      <c r="BB87" s="9" t="s">
        <v>365</v>
      </c>
      <c r="BC87" s="9" t="s">
        <v>366</v>
      </c>
      <c r="BD87" s="9" t="s">
        <v>367</v>
      </c>
      <c r="BE87" s="9" t="s">
        <v>367</v>
      </c>
      <c r="BF87" s="9" t="s">
        <v>368</v>
      </c>
      <c r="BG87" s="9" t="s">
        <v>369</v>
      </c>
      <c r="BH87" s="9" t="s">
        <v>369</v>
      </c>
      <c r="BI87" s="9" t="s">
        <v>369</v>
      </c>
      <c r="BJ87" s="9" t="s">
        <v>369</v>
      </c>
      <c r="BK87" s="9" t="s">
        <v>369</v>
      </c>
      <c r="BL87" s="9" t="s">
        <v>369</v>
      </c>
      <c r="BM87" s="9" t="s">
        <v>369</v>
      </c>
      <c r="BN87" s="9" t="s">
        <v>369</v>
      </c>
      <c r="BO87" s="9" t="s">
        <v>369</v>
      </c>
      <c r="BP87" s="9" t="s">
        <v>369</v>
      </c>
      <c r="BQ87" s="9" t="s">
        <v>370</v>
      </c>
      <c r="BR87" s="9" t="s">
        <v>371</v>
      </c>
      <c r="BS87" s="9" t="s">
        <v>372</v>
      </c>
      <c r="BT87" s="9" t="s">
        <v>373</v>
      </c>
      <c r="BU87" s="9" t="s">
        <v>374</v>
      </c>
      <c r="BV87" s="9" t="s">
        <v>375</v>
      </c>
      <c r="BW87" s="9" t="s">
        <v>376</v>
      </c>
      <c r="BX87" s="9" t="n">
        <v>0</v>
      </c>
      <c r="BY87" s="9" t="n">
        <v>0</v>
      </c>
      <c r="BZ87" s="9" t="n">
        <v>0</v>
      </c>
      <c r="CA87" s="9" t="n">
        <v>0</v>
      </c>
      <c r="CB87" s="9" t="n">
        <v>0</v>
      </c>
      <c r="CC87" s="9" t="n">
        <v>0</v>
      </c>
      <c r="CD87" s="9" t="n">
        <v>0</v>
      </c>
      <c r="CE87" s="9" t="n">
        <v>0</v>
      </c>
      <c r="CF87" s="9" t="n">
        <v>0</v>
      </c>
      <c r="CG87" s="9" t="n">
        <v>0</v>
      </c>
      <c r="CH87" s="9" t="n">
        <v>0</v>
      </c>
      <c r="CI87" s="9" t="n">
        <v>0</v>
      </c>
      <c r="CJ87" s="9" t="n">
        <v>0</v>
      </c>
      <c r="CK87" s="9" t="n">
        <v>0</v>
      </c>
      <c r="CL87" s="9" t="n">
        <v>0</v>
      </c>
      <c r="CM87" s="9" t="n">
        <v>0</v>
      </c>
      <c r="CN87" s="9" t="n">
        <v>0</v>
      </c>
      <c r="CO87" s="9" t="n">
        <v>0</v>
      </c>
      <c r="CP87" s="9" t="n">
        <v>0</v>
      </c>
    </row>
    <row r="88" spans="1:94" ht="15.75" customHeight="1">
      <c r="A88" s="56" t="s">
        <v>337</v>
      </c>
      <c r="B88" s="9" t="n">
        <v>0</v>
      </c>
      <c r="C88" s="9" t="s">
        <v>346</v>
      </c>
      <c r="D88" s="9" t="s">
        <v>346</v>
      </c>
      <c r="E88" s="9" t="s">
        <v>346</v>
      </c>
      <c r="F88" s="9" t="s">
        <v>346</v>
      </c>
      <c r="G88" s="9" t="s">
        <v>346</v>
      </c>
      <c r="H88" s="9" t="s">
        <v>346</v>
      </c>
      <c r="I88" s="9" t="s">
        <v>346</v>
      </c>
      <c r="J88" s="9" t="s">
        <v>346</v>
      </c>
      <c r="K88" s="9" t="s">
        <v>346</v>
      </c>
      <c r="L88" s="9" t="s">
        <v>347</v>
      </c>
      <c r="M88" s="9" t="s">
        <v>348</v>
      </c>
      <c r="N88" s="9" t="s">
        <v>349</v>
      </c>
      <c r="O88" s="9" t="s">
        <v>349</v>
      </c>
      <c r="P88" s="9" t="s">
        <v>349</v>
      </c>
      <c r="Q88" s="9" t="s">
        <v>349</v>
      </c>
      <c r="R88" s="9" t="s">
        <v>349</v>
      </c>
      <c r="S88" s="9" t="s">
        <v>349</v>
      </c>
      <c r="T88" s="9" t="s">
        <v>349</v>
      </c>
      <c r="U88" s="9" t="s">
        <v>349</v>
      </c>
      <c r="V88" s="9" t="s">
        <v>349</v>
      </c>
      <c r="W88" s="9" t="s">
        <v>349</v>
      </c>
      <c r="X88" s="9" t="s">
        <v>349</v>
      </c>
      <c r="Y88" s="9" t="s">
        <v>349</v>
      </c>
      <c r="Z88" s="9" t="s">
        <v>349</v>
      </c>
      <c r="AA88" s="9" t="s">
        <v>349</v>
      </c>
      <c r="AB88" s="9" t="s">
        <v>349</v>
      </c>
      <c r="AC88" s="9" t="s">
        <v>350</v>
      </c>
      <c r="AD88" s="9" t="s">
        <v>351</v>
      </c>
      <c r="AE88" s="9" t="s">
        <v>352</v>
      </c>
      <c r="AF88" s="9" t="s">
        <v>352</v>
      </c>
      <c r="AG88" s="9" t="s">
        <v>352</v>
      </c>
      <c r="AH88" s="9" t="s">
        <v>352</v>
      </c>
      <c r="AI88" s="9" t="s">
        <v>352</v>
      </c>
      <c r="AJ88" s="9" t="s">
        <v>352</v>
      </c>
      <c r="AK88" s="9" t="s">
        <v>352</v>
      </c>
      <c r="AL88" s="9" t="s">
        <v>352</v>
      </c>
      <c r="AM88" s="9" t="s">
        <v>352</v>
      </c>
      <c r="AN88" s="9" t="s">
        <v>352</v>
      </c>
      <c r="AO88" s="9" t="s">
        <v>353</v>
      </c>
      <c r="AP88" s="9" t="s">
        <v>354</v>
      </c>
      <c r="AQ88" s="9" t="s">
        <v>355</v>
      </c>
      <c r="AR88" s="9" t="s">
        <v>356</v>
      </c>
      <c r="AS88" s="9" t="s">
        <v>357</v>
      </c>
      <c r="AT88" s="9" t="s">
        <v>358</v>
      </c>
      <c r="AU88" s="9" t="s">
        <v>359</v>
      </c>
      <c r="AV88" s="9" t="s">
        <v>360</v>
      </c>
      <c r="AW88" s="9" t="s">
        <v>361</v>
      </c>
      <c r="AX88" s="9" t="s">
        <v>362</v>
      </c>
      <c r="AY88" s="9" t="s">
        <v>362</v>
      </c>
      <c r="AZ88" s="9" t="s">
        <v>363</v>
      </c>
      <c r="BA88" s="9" t="s">
        <v>364</v>
      </c>
      <c r="BB88" s="9" t="s">
        <v>365</v>
      </c>
      <c r="BC88" s="9" t="s">
        <v>366</v>
      </c>
      <c r="BD88" s="9" t="s">
        <v>367</v>
      </c>
      <c r="BE88" s="9" t="s">
        <v>367</v>
      </c>
      <c r="BF88" s="9" t="s">
        <v>368</v>
      </c>
      <c r="BG88" s="9" t="s">
        <v>369</v>
      </c>
      <c r="BH88" s="9" t="s">
        <v>369</v>
      </c>
      <c r="BI88" s="9" t="s">
        <v>369</v>
      </c>
      <c r="BJ88" s="9" t="s">
        <v>369</v>
      </c>
      <c r="BK88" s="9" t="s">
        <v>369</v>
      </c>
      <c r="BL88" s="9" t="s">
        <v>369</v>
      </c>
      <c r="BM88" s="9" t="s">
        <v>369</v>
      </c>
      <c r="BN88" s="9" t="s">
        <v>369</v>
      </c>
      <c r="BO88" s="9" t="s">
        <v>369</v>
      </c>
      <c r="BP88" s="9" t="s">
        <v>369</v>
      </c>
      <c r="BQ88" s="9" t="s">
        <v>370</v>
      </c>
      <c r="BR88" s="9" t="s">
        <v>371</v>
      </c>
      <c r="BS88" s="9" t="s">
        <v>372</v>
      </c>
      <c r="BT88" s="9" t="s">
        <v>373</v>
      </c>
      <c r="BU88" s="9" t="s">
        <v>374</v>
      </c>
      <c r="BV88" s="9" t="s">
        <v>375</v>
      </c>
      <c r="BW88" s="9" t="s">
        <v>376</v>
      </c>
      <c r="BX88" s="9" t="n">
        <v>0</v>
      </c>
      <c r="BY88" s="9" t="n">
        <v>0</v>
      </c>
      <c r="BZ88" s="9" t="n">
        <v>0</v>
      </c>
      <c r="CA88" s="9" t="n">
        <v>0</v>
      </c>
      <c r="CB88" s="9" t="n">
        <v>0</v>
      </c>
      <c r="CC88" s="9" t="n">
        <v>0</v>
      </c>
      <c r="CD88" s="9" t="n">
        <v>0</v>
      </c>
      <c r="CE88" s="9" t="n">
        <v>0</v>
      </c>
      <c r="CF88" s="9" t="n">
        <v>0</v>
      </c>
      <c r="CG88" s="9" t="n">
        <v>0</v>
      </c>
      <c r="CH88" s="9" t="n">
        <v>0</v>
      </c>
      <c r="CI88" s="9" t="n">
        <v>0</v>
      </c>
      <c r="CJ88" s="9" t="n">
        <v>0</v>
      </c>
      <c r="CK88" s="9" t="n">
        <v>0</v>
      </c>
      <c r="CL88" s="9" t="n">
        <v>0</v>
      </c>
      <c r="CM88" s="9" t="n">
        <v>0</v>
      </c>
      <c r="CN88" s="9" t="n">
        <v>0</v>
      </c>
      <c r="CO88" s="9" t="n">
        <v>0</v>
      </c>
      <c r="CP88" s="9" t="n">
        <v>0</v>
      </c>
    </row>
    <row r="89" spans="1:94" ht="15.75" customHeight="1">
      <c r="A89" s="56" t="s">
        <v>338</v>
      </c>
      <c r="B89" s="9" t="n">
        <v>0</v>
      </c>
      <c r="C89" s="9" t="s">
        <v>346</v>
      </c>
      <c r="D89" s="9" t="s">
        <v>346</v>
      </c>
      <c r="E89" s="9" t="s">
        <v>346</v>
      </c>
      <c r="F89" s="9" t="s">
        <v>346</v>
      </c>
      <c r="G89" s="9" t="s">
        <v>346</v>
      </c>
      <c r="H89" s="9" t="s">
        <v>346</v>
      </c>
      <c r="I89" s="9" t="s">
        <v>346</v>
      </c>
      <c r="J89" s="9" t="s">
        <v>346</v>
      </c>
      <c r="K89" s="9" t="s">
        <v>346</v>
      </c>
      <c r="L89" s="9" t="s">
        <v>347</v>
      </c>
      <c r="M89" s="9" t="s">
        <v>348</v>
      </c>
      <c r="N89" s="9" t="s">
        <v>349</v>
      </c>
      <c r="O89" s="9" t="s">
        <v>349</v>
      </c>
      <c r="P89" s="9" t="s">
        <v>349</v>
      </c>
      <c r="Q89" s="9" t="s">
        <v>349</v>
      </c>
      <c r="R89" s="9" t="s">
        <v>349</v>
      </c>
      <c r="S89" s="9" t="s">
        <v>349</v>
      </c>
      <c r="T89" s="9" t="s">
        <v>349</v>
      </c>
      <c r="U89" s="9" t="s">
        <v>349</v>
      </c>
      <c r="V89" s="9" t="s">
        <v>349</v>
      </c>
      <c r="W89" s="9" t="s">
        <v>349</v>
      </c>
      <c r="X89" s="9" t="s">
        <v>349</v>
      </c>
      <c r="Y89" s="9" t="s">
        <v>349</v>
      </c>
      <c r="Z89" s="9" t="s">
        <v>349</v>
      </c>
      <c r="AA89" s="9" t="s">
        <v>349</v>
      </c>
      <c r="AB89" s="9" t="s">
        <v>349</v>
      </c>
      <c r="AC89" s="9" t="s">
        <v>350</v>
      </c>
      <c r="AD89" s="9" t="s">
        <v>351</v>
      </c>
      <c r="AE89" s="9" t="s">
        <v>352</v>
      </c>
      <c r="AF89" s="9" t="s">
        <v>352</v>
      </c>
      <c r="AG89" s="9" t="s">
        <v>352</v>
      </c>
      <c r="AH89" s="9" t="s">
        <v>352</v>
      </c>
      <c r="AI89" s="9" t="s">
        <v>352</v>
      </c>
      <c r="AJ89" s="9" t="s">
        <v>352</v>
      </c>
      <c r="AK89" s="9" t="s">
        <v>352</v>
      </c>
      <c r="AL89" s="9" t="s">
        <v>352</v>
      </c>
      <c r="AM89" s="9" t="s">
        <v>352</v>
      </c>
      <c r="AN89" s="9" t="s">
        <v>352</v>
      </c>
      <c r="AO89" s="9" t="s">
        <v>353</v>
      </c>
      <c r="AP89" s="9" t="s">
        <v>354</v>
      </c>
      <c r="AQ89" s="9" t="s">
        <v>355</v>
      </c>
      <c r="AR89" s="9" t="s">
        <v>356</v>
      </c>
      <c r="AS89" s="9" t="s">
        <v>357</v>
      </c>
      <c r="AT89" s="9" t="s">
        <v>358</v>
      </c>
      <c r="AU89" s="9" t="s">
        <v>359</v>
      </c>
      <c r="AV89" s="9" t="s">
        <v>360</v>
      </c>
      <c r="AW89" s="9" t="s">
        <v>361</v>
      </c>
      <c r="AX89" s="9" t="s">
        <v>362</v>
      </c>
      <c r="AY89" s="9" t="s">
        <v>362</v>
      </c>
      <c r="AZ89" s="9" t="s">
        <v>363</v>
      </c>
      <c r="BA89" s="9" t="s">
        <v>364</v>
      </c>
      <c r="BB89" s="9" t="s">
        <v>365</v>
      </c>
      <c r="BC89" s="9" t="s">
        <v>366</v>
      </c>
      <c r="BD89" s="9" t="s">
        <v>367</v>
      </c>
      <c r="BE89" s="9" t="s">
        <v>367</v>
      </c>
      <c r="BF89" s="9" t="s">
        <v>368</v>
      </c>
      <c r="BG89" s="9" t="s">
        <v>369</v>
      </c>
      <c r="BH89" s="9" t="s">
        <v>369</v>
      </c>
      <c r="BI89" s="9" t="s">
        <v>369</v>
      </c>
      <c r="BJ89" s="9" t="s">
        <v>369</v>
      </c>
      <c r="BK89" s="9" t="s">
        <v>369</v>
      </c>
      <c r="BL89" s="9" t="s">
        <v>369</v>
      </c>
      <c r="BM89" s="9" t="s">
        <v>369</v>
      </c>
      <c r="BN89" s="9" t="s">
        <v>369</v>
      </c>
      <c r="BO89" s="9" t="s">
        <v>369</v>
      </c>
      <c r="BP89" s="9" t="s">
        <v>369</v>
      </c>
      <c r="BQ89" s="9" t="s">
        <v>370</v>
      </c>
      <c r="BR89" s="9" t="s">
        <v>371</v>
      </c>
      <c r="BS89" s="9" t="s">
        <v>372</v>
      </c>
      <c r="BT89" s="9" t="s">
        <v>373</v>
      </c>
      <c r="BU89" s="9" t="s">
        <v>374</v>
      </c>
      <c r="BV89" s="9" t="s">
        <v>375</v>
      </c>
      <c r="BW89" s="9" t="s">
        <v>376</v>
      </c>
      <c r="BX89" s="9" t="n">
        <v>0</v>
      </c>
      <c r="BY89" s="9" t="n">
        <v>0</v>
      </c>
      <c r="BZ89" s="9" t="n">
        <v>0</v>
      </c>
      <c r="CA89" s="9" t="n">
        <v>0</v>
      </c>
      <c r="CB89" s="9" t="n">
        <v>0</v>
      </c>
      <c r="CC89" s="9" t="n">
        <v>0</v>
      </c>
      <c r="CD89" s="9" t="n">
        <v>0</v>
      </c>
      <c r="CE89" s="9" t="n">
        <v>0</v>
      </c>
      <c r="CF89" s="9" t="n">
        <v>0</v>
      </c>
      <c r="CG89" s="9" t="n">
        <v>0</v>
      </c>
      <c r="CH89" s="9" t="n">
        <v>0</v>
      </c>
      <c r="CI89" s="9" t="n">
        <v>0</v>
      </c>
      <c r="CJ89" s="9" t="n">
        <v>0</v>
      </c>
      <c r="CK89" s="9" t="n">
        <v>0</v>
      </c>
      <c r="CL89" s="9" t="n">
        <v>0</v>
      </c>
      <c r="CM89" s="9" t="n">
        <v>0</v>
      </c>
      <c r="CN89" s="9" t="n">
        <v>0</v>
      </c>
      <c r="CO89" s="9" t="n">
        <v>0</v>
      </c>
      <c r="CP89" s="9" t="n">
        <v>0</v>
      </c>
    </row>
    <row r="90" spans="1:94" ht="15.75" customHeight="1">
      <c r="A90" s="56" t="s">
        <v>339</v>
      </c>
      <c r="B90" s="9" t="n">
        <v>0</v>
      </c>
      <c r="C90" s="9" t="s">
        <v>346</v>
      </c>
      <c r="D90" s="9" t="s">
        <v>346</v>
      </c>
      <c r="E90" s="9" t="s">
        <v>346</v>
      </c>
      <c r="F90" s="9" t="s">
        <v>346</v>
      </c>
      <c r="G90" s="9" t="s">
        <v>346</v>
      </c>
      <c r="H90" s="9" t="s">
        <v>346</v>
      </c>
      <c r="I90" s="9" t="s">
        <v>346</v>
      </c>
      <c r="J90" s="9" t="s">
        <v>346</v>
      </c>
      <c r="K90" s="9" t="s">
        <v>346</v>
      </c>
      <c r="L90" s="9" t="s">
        <v>347</v>
      </c>
      <c r="M90" s="9" t="s">
        <v>348</v>
      </c>
      <c r="N90" s="9" t="s">
        <v>349</v>
      </c>
      <c r="O90" s="9" t="s">
        <v>349</v>
      </c>
      <c r="P90" s="9" t="s">
        <v>349</v>
      </c>
      <c r="Q90" s="9" t="s">
        <v>349</v>
      </c>
      <c r="R90" s="9" t="s">
        <v>349</v>
      </c>
      <c r="S90" s="9" t="s">
        <v>349</v>
      </c>
      <c r="T90" s="9" t="s">
        <v>349</v>
      </c>
      <c r="U90" s="9" t="s">
        <v>349</v>
      </c>
      <c r="V90" s="9" t="s">
        <v>349</v>
      </c>
      <c r="W90" s="9" t="s">
        <v>349</v>
      </c>
      <c r="X90" s="9" t="s">
        <v>349</v>
      </c>
      <c r="Y90" s="9" t="s">
        <v>349</v>
      </c>
      <c r="Z90" s="9" t="s">
        <v>349</v>
      </c>
      <c r="AA90" s="9" t="s">
        <v>349</v>
      </c>
      <c r="AB90" s="9" t="s">
        <v>349</v>
      </c>
      <c r="AC90" s="9" t="s">
        <v>350</v>
      </c>
      <c r="AD90" s="9" t="s">
        <v>351</v>
      </c>
      <c r="AE90" s="9" t="s">
        <v>352</v>
      </c>
      <c r="AF90" s="9" t="s">
        <v>352</v>
      </c>
      <c r="AG90" s="9" t="s">
        <v>352</v>
      </c>
      <c r="AH90" s="9" t="s">
        <v>352</v>
      </c>
      <c r="AI90" s="9" t="s">
        <v>352</v>
      </c>
      <c r="AJ90" s="9" t="s">
        <v>352</v>
      </c>
      <c r="AK90" s="9" t="s">
        <v>352</v>
      </c>
      <c r="AL90" s="9" t="s">
        <v>352</v>
      </c>
      <c r="AM90" s="9" t="s">
        <v>352</v>
      </c>
      <c r="AN90" s="9" t="s">
        <v>352</v>
      </c>
      <c r="AO90" s="9" t="s">
        <v>353</v>
      </c>
      <c r="AP90" s="9" t="s">
        <v>354</v>
      </c>
      <c r="AQ90" s="9" t="s">
        <v>355</v>
      </c>
      <c r="AR90" s="9" t="s">
        <v>356</v>
      </c>
      <c r="AS90" s="9" t="s">
        <v>357</v>
      </c>
      <c r="AT90" s="9" t="s">
        <v>358</v>
      </c>
      <c r="AU90" s="9" t="s">
        <v>359</v>
      </c>
      <c r="AV90" s="9" t="s">
        <v>360</v>
      </c>
      <c r="AW90" s="9" t="s">
        <v>361</v>
      </c>
      <c r="AX90" s="9" t="s">
        <v>362</v>
      </c>
      <c r="AY90" s="9" t="s">
        <v>362</v>
      </c>
      <c r="AZ90" s="9" t="s">
        <v>363</v>
      </c>
      <c r="BA90" s="9" t="s">
        <v>364</v>
      </c>
      <c r="BB90" s="9" t="s">
        <v>365</v>
      </c>
      <c r="BC90" s="9" t="s">
        <v>366</v>
      </c>
      <c r="BD90" s="9" t="s">
        <v>367</v>
      </c>
      <c r="BE90" s="9" t="s">
        <v>367</v>
      </c>
      <c r="BF90" s="9" t="s">
        <v>368</v>
      </c>
      <c r="BG90" s="9" t="s">
        <v>369</v>
      </c>
      <c r="BH90" s="9" t="s">
        <v>369</v>
      </c>
      <c r="BI90" s="9" t="s">
        <v>369</v>
      </c>
      <c r="BJ90" s="9" t="s">
        <v>369</v>
      </c>
      <c r="BK90" s="9" t="s">
        <v>369</v>
      </c>
      <c r="BL90" s="9" t="s">
        <v>369</v>
      </c>
      <c r="BM90" s="9" t="s">
        <v>369</v>
      </c>
      <c r="BN90" s="9" t="s">
        <v>369</v>
      </c>
      <c r="BO90" s="9" t="s">
        <v>369</v>
      </c>
      <c r="BP90" s="9" t="s">
        <v>369</v>
      </c>
      <c r="BQ90" s="9" t="s">
        <v>370</v>
      </c>
      <c r="BR90" s="9" t="s">
        <v>371</v>
      </c>
      <c r="BS90" s="9" t="s">
        <v>372</v>
      </c>
      <c r="BT90" s="9" t="s">
        <v>373</v>
      </c>
      <c r="BU90" s="9" t="s">
        <v>374</v>
      </c>
      <c r="BV90" s="9" t="s">
        <v>375</v>
      </c>
      <c r="BW90" s="9" t="s">
        <v>376</v>
      </c>
      <c r="BX90" s="9" t="n">
        <v>0</v>
      </c>
      <c r="BY90" s="9" t="n">
        <v>0</v>
      </c>
      <c r="BZ90" s="9" t="n">
        <v>0</v>
      </c>
      <c r="CA90" s="9" t="n">
        <v>0</v>
      </c>
      <c r="CB90" s="9" t="n">
        <v>0</v>
      </c>
      <c r="CC90" s="9" t="n">
        <v>0</v>
      </c>
      <c r="CD90" s="9" t="n">
        <v>0</v>
      </c>
      <c r="CE90" s="9" t="n">
        <v>0</v>
      </c>
      <c r="CF90" s="9" t="n">
        <v>0</v>
      </c>
      <c r="CG90" s="9" t="n">
        <v>0</v>
      </c>
      <c r="CH90" s="9" t="n">
        <v>0</v>
      </c>
      <c r="CI90" s="9" t="n">
        <v>0</v>
      </c>
      <c r="CJ90" s="9" t="n">
        <v>0</v>
      </c>
      <c r="CK90" s="9" t="n">
        <v>0</v>
      </c>
      <c r="CL90" s="9" t="n">
        <v>0</v>
      </c>
      <c r="CM90" s="9" t="n">
        <v>0</v>
      </c>
      <c r="CN90" s="9" t="n">
        <v>0</v>
      </c>
      <c r="CO90" s="9" t="n">
        <v>0</v>
      </c>
      <c r="CP90" s="9" t="n">
        <v>0</v>
      </c>
    </row>
    <row r="91" spans="1:94" ht="15.75" customHeight="1">
      <c r="A91" s="56" t="s">
        <v>340</v>
      </c>
      <c r="B91" s="9" t="n">
        <v>0</v>
      </c>
      <c r="C91" s="9" t="s">
        <v>346</v>
      </c>
      <c r="D91" s="9" t="s">
        <v>346</v>
      </c>
      <c r="E91" s="9" t="s">
        <v>346</v>
      </c>
      <c r="F91" s="9" t="s">
        <v>346</v>
      </c>
      <c r="G91" s="9" t="s">
        <v>346</v>
      </c>
      <c r="H91" s="9" t="s">
        <v>346</v>
      </c>
      <c r="I91" s="9" t="s">
        <v>346</v>
      </c>
      <c r="J91" s="9" t="s">
        <v>346</v>
      </c>
      <c r="K91" s="9" t="s">
        <v>346</v>
      </c>
      <c r="L91" s="9" t="s">
        <v>347</v>
      </c>
      <c r="M91" s="9" t="s">
        <v>348</v>
      </c>
      <c r="N91" s="9" t="s">
        <v>349</v>
      </c>
      <c r="O91" s="9" t="s">
        <v>349</v>
      </c>
      <c r="P91" s="9" t="s">
        <v>349</v>
      </c>
      <c r="Q91" s="9" t="s">
        <v>349</v>
      </c>
      <c r="R91" s="9" t="s">
        <v>349</v>
      </c>
      <c r="S91" s="9" t="s">
        <v>349</v>
      </c>
      <c r="T91" s="9" t="s">
        <v>349</v>
      </c>
      <c r="U91" s="9" t="s">
        <v>349</v>
      </c>
      <c r="V91" s="9" t="s">
        <v>349</v>
      </c>
      <c r="W91" s="9" t="s">
        <v>349</v>
      </c>
      <c r="X91" s="9" t="s">
        <v>349</v>
      </c>
      <c r="Y91" s="9" t="s">
        <v>349</v>
      </c>
      <c r="Z91" s="9" t="s">
        <v>349</v>
      </c>
      <c r="AA91" s="9" t="s">
        <v>349</v>
      </c>
      <c r="AB91" s="9" t="s">
        <v>349</v>
      </c>
      <c r="AC91" s="9" t="s">
        <v>350</v>
      </c>
      <c r="AD91" s="9" t="s">
        <v>351</v>
      </c>
      <c r="AE91" s="9" t="s">
        <v>352</v>
      </c>
      <c r="AF91" s="9" t="s">
        <v>352</v>
      </c>
      <c r="AG91" s="9" t="s">
        <v>352</v>
      </c>
      <c r="AH91" s="9" t="s">
        <v>352</v>
      </c>
      <c r="AI91" s="9" t="s">
        <v>352</v>
      </c>
      <c r="AJ91" s="9" t="s">
        <v>352</v>
      </c>
      <c r="AK91" s="9" t="s">
        <v>352</v>
      </c>
      <c r="AL91" s="9" t="s">
        <v>352</v>
      </c>
      <c r="AM91" s="9" t="s">
        <v>352</v>
      </c>
      <c r="AN91" s="9" t="s">
        <v>352</v>
      </c>
      <c r="AO91" s="9" t="s">
        <v>353</v>
      </c>
      <c r="AP91" s="9" t="s">
        <v>354</v>
      </c>
      <c r="AQ91" s="9" t="s">
        <v>355</v>
      </c>
      <c r="AR91" s="9" t="s">
        <v>356</v>
      </c>
      <c r="AS91" s="9" t="s">
        <v>357</v>
      </c>
      <c r="AT91" s="9" t="s">
        <v>358</v>
      </c>
      <c r="AU91" s="9" t="s">
        <v>359</v>
      </c>
      <c r="AV91" s="9" t="s">
        <v>360</v>
      </c>
      <c r="AW91" s="9" t="s">
        <v>361</v>
      </c>
      <c r="AX91" s="9" t="s">
        <v>362</v>
      </c>
      <c r="AY91" s="9" t="s">
        <v>362</v>
      </c>
      <c r="AZ91" s="9" t="s">
        <v>363</v>
      </c>
      <c r="BA91" s="9" t="s">
        <v>364</v>
      </c>
      <c r="BB91" s="9" t="s">
        <v>365</v>
      </c>
      <c r="BC91" s="9" t="s">
        <v>366</v>
      </c>
      <c r="BD91" s="9" t="s">
        <v>367</v>
      </c>
      <c r="BE91" s="9" t="s">
        <v>367</v>
      </c>
      <c r="BF91" s="9" t="s">
        <v>368</v>
      </c>
      <c r="BG91" s="9" t="s">
        <v>369</v>
      </c>
      <c r="BH91" s="9" t="s">
        <v>369</v>
      </c>
      <c r="BI91" s="9" t="s">
        <v>369</v>
      </c>
      <c r="BJ91" s="9" t="s">
        <v>369</v>
      </c>
      <c r="BK91" s="9" t="s">
        <v>369</v>
      </c>
      <c r="BL91" s="9" t="s">
        <v>369</v>
      </c>
      <c r="BM91" s="9" t="s">
        <v>369</v>
      </c>
      <c r="BN91" s="9" t="s">
        <v>369</v>
      </c>
      <c r="BO91" s="9" t="s">
        <v>369</v>
      </c>
      <c r="BP91" s="9" t="s">
        <v>369</v>
      </c>
      <c r="BQ91" s="9" t="s">
        <v>370</v>
      </c>
      <c r="BR91" s="9" t="s">
        <v>371</v>
      </c>
      <c r="BS91" s="9" t="s">
        <v>372</v>
      </c>
      <c r="BT91" s="9" t="s">
        <v>373</v>
      </c>
      <c r="BU91" s="9" t="s">
        <v>374</v>
      </c>
      <c r="BV91" s="9" t="s">
        <v>375</v>
      </c>
      <c r="BW91" s="9" t="s">
        <v>376</v>
      </c>
      <c r="BX91" s="9" t="n">
        <v>0</v>
      </c>
      <c r="BY91" s="9" t="n">
        <v>0</v>
      </c>
      <c r="BZ91" s="9" t="n">
        <v>0</v>
      </c>
      <c r="CA91" s="9" t="n">
        <v>0</v>
      </c>
      <c r="CB91" s="9" t="n">
        <v>0</v>
      </c>
      <c r="CC91" s="9" t="n">
        <v>0</v>
      </c>
      <c r="CD91" s="9" t="n">
        <v>0</v>
      </c>
      <c r="CE91" s="9" t="n">
        <v>0</v>
      </c>
      <c r="CF91" s="9" t="n">
        <v>0</v>
      </c>
      <c r="CG91" s="9" t="n">
        <v>0</v>
      </c>
      <c r="CH91" s="9" t="n">
        <v>0</v>
      </c>
      <c r="CI91" s="9" t="n">
        <v>0</v>
      </c>
      <c r="CJ91" s="9" t="n">
        <v>0</v>
      </c>
      <c r="CK91" s="9" t="n">
        <v>0</v>
      </c>
      <c r="CL91" s="9" t="n">
        <v>0</v>
      </c>
      <c r="CM91" s="9" t="n">
        <v>0</v>
      </c>
      <c r="CN91" s="9" t="n">
        <v>0</v>
      </c>
      <c r="CO91" s="9" t="n">
        <v>0</v>
      </c>
      <c r="CP91" s="9" t="n">
        <v>0</v>
      </c>
    </row>
    <row r="92" spans="1:94" ht="15.75" customHeight="1">
      <c r="A92" s="56" t="s">
        <v>341</v>
      </c>
      <c r="B92" s="9" t="n">
        <v>0</v>
      </c>
      <c r="C92" s="9" t="s">
        <v>346</v>
      </c>
      <c r="D92" s="9" t="s">
        <v>346</v>
      </c>
      <c r="E92" s="9" t="s">
        <v>346</v>
      </c>
      <c r="F92" s="9" t="s">
        <v>346</v>
      </c>
      <c r="G92" s="9" t="s">
        <v>346</v>
      </c>
      <c r="H92" s="9" t="s">
        <v>346</v>
      </c>
      <c r="I92" s="9" t="s">
        <v>346</v>
      </c>
      <c r="J92" s="9" t="s">
        <v>346</v>
      </c>
      <c r="K92" s="9" t="s">
        <v>346</v>
      </c>
      <c r="L92" s="9" t="s">
        <v>347</v>
      </c>
      <c r="M92" s="9" t="s">
        <v>348</v>
      </c>
      <c r="N92" s="9" t="s">
        <v>349</v>
      </c>
      <c r="O92" s="9" t="s">
        <v>349</v>
      </c>
      <c r="P92" s="9" t="s">
        <v>349</v>
      </c>
      <c r="Q92" s="9" t="s">
        <v>349</v>
      </c>
      <c r="R92" s="9" t="s">
        <v>349</v>
      </c>
      <c r="S92" s="9" t="s">
        <v>349</v>
      </c>
      <c r="T92" s="9" t="s">
        <v>349</v>
      </c>
      <c r="U92" s="9" t="s">
        <v>349</v>
      </c>
      <c r="V92" s="9" t="s">
        <v>349</v>
      </c>
      <c r="W92" s="9" t="s">
        <v>349</v>
      </c>
      <c r="X92" s="9" t="s">
        <v>349</v>
      </c>
      <c r="Y92" s="9" t="s">
        <v>349</v>
      </c>
      <c r="Z92" s="9" t="s">
        <v>349</v>
      </c>
      <c r="AA92" s="9" t="s">
        <v>349</v>
      </c>
      <c r="AB92" s="9" t="s">
        <v>349</v>
      </c>
      <c r="AC92" s="9" t="s">
        <v>350</v>
      </c>
      <c r="AD92" s="9" t="s">
        <v>351</v>
      </c>
      <c r="AE92" s="9" t="s">
        <v>352</v>
      </c>
      <c r="AF92" s="9" t="s">
        <v>352</v>
      </c>
      <c r="AG92" s="9" t="s">
        <v>352</v>
      </c>
      <c r="AH92" s="9" t="s">
        <v>352</v>
      </c>
      <c r="AI92" s="9" t="s">
        <v>352</v>
      </c>
      <c r="AJ92" s="9" t="s">
        <v>352</v>
      </c>
      <c r="AK92" s="9" t="s">
        <v>352</v>
      </c>
      <c r="AL92" s="9" t="s">
        <v>352</v>
      </c>
      <c r="AM92" s="9" t="s">
        <v>352</v>
      </c>
      <c r="AN92" s="9" t="s">
        <v>352</v>
      </c>
      <c r="AO92" s="9" t="s">
        <v>353</v>
      </c>
      <c r="AP92" s="9" t="s">
        <v>354</v>
      </c>
      <c r="AQ92" s="9" t="s">
        <v>355</v>
      </c>
      <c r="AR92" s="9" t="s">
        <v>356</v>
      </c>
      <c r="AS92" s="9" t="s">
        <v>357</v>
      </c>
      <c r="AT92" s="9" t="s">
        <v>358</v>
      </c>
      <c r="AU92" s="9" t="s">
        <v>359</v>
      </c>
      <c r="AV92" s="9" t="s">
        <v>360</v>
      </c>
      <c r="AW92" s="9" t="s">
        <v>361</v>
      </c>
      <c r="AX92" s="9" t="s">
        <v>362</v>
      </c>
      <c r="AY92" s="9" t="s">
        <v>362</v>
      </c>
      <c r="AZ92" s="9" t="s">
        <v>363</v>
      </c>
      <c r="BA92" s="9" t="s">
        <v>364</v>
      </c>
      <c r="BB92" s="9" t="s">
        <v>365</v>
      </c>
      <c r="BC92" s="9" t="s">
        <v>366</v>
      </c>
      <c r="BD92" s="9" t="s">
        <v>367</v>
      </c>
      <c r="BE92" s="9" t="s">
        <v>367</v>
      </c>
      <c r="BF92" s="9" t="s">
        <v>368</v>
      </c>
      <c r="BG92" s="9" t="s">
        <v>369</v>
      </c>
      <c r="BH92" s="9" t="s">
        <v>369</v>
      </c>
      <c r="BI92" s="9" t="s">
        <v>369</v>
      </c>
      <c r="BJ92" s="9" t="s">
        <v>369</v>
      </c>
      <c r="BK92" s="9" t="s">
        <v>369</v>
      </c>
      <c r="BL92" s="9" t="s">
        <v>369</v>
      </c>
      <c r="BM92" s="9" t="s">
        <v>369</v>
      </c>
      <c r="BN92" s="9" t="s">
        <v>369</v>
      </c>
      <c r="BO92" s="9" t="s">
        <v>369</v>
      </c>
      <c r="BP92" s="9" t="s">
        <v>369</v>
      </c>
      <c r="BQ92" s="9" t="s">
        <v>370</v>
      </c>
      <c r="BR92" s="9" t="s">
        <v>371</v>
      </c>
      <c r="BS92" s="9" t="s">
        <v>372</v>
      </c>
      <c r="BT92" s="9" t="s">
        <v>373</v>
      </c>
      <c r="BU92" s="9" t="s">
        <v>374</v>
      </c>
      <c r="BV92" s="9" t="s">
        <v>375</v>
      </c>
      <c r="BW92" s="9" t="s">
        <v>376</v>
      </c>
      <c r="BX92" s="9" t="n">
        <v>0</v>
      </c>
      <c r="BY92" s="9" t="n">
        <v>0</v>
      </c>
      <c r="BZ92" s="9" t="n">
        <v>0</v>
      </c>
      <c r="CA92" s="9" t="n">
        <v>0</v>
      </c>
      <c r="CB92" s="9" t="n">
        <v>0</v>
      </c>
      <c r="CC92" s="9" t="n">
        <v>0</v>
      </c>
      <c r="CD92" s="9" t="n">
        <v>0</v>
      </c>
      <c r="CE92" s="9" t="n">
        <v>0</v>
      </c>
      <c r="CF92" s="9" t="n">
        <v>0</v>
      </c>
      <c r="CG92" s="9" t="n">
        <v>0</v>
      </c>
      <c r="CH92" s="9" t="n">
        <v>0</v>
      </c>
      <c r="CI92" s="9" t="n">
        <v>0</v>
      </c>
      <c r="CJ92" s="9" t="n">
        <v>0</v>
      </c>
      <c r="CK92" s="9" t="n">
        <v>0</v>
      </c>
      <c r="CL92" s="9" t="n">
        <v>0</v>
      </c>
      <c r="CM92" s="9" t="n">
        <v>0</v>
      </c>
      <c r="CN92" s="9" t="n">
        <v>0</v>
      </c>
      <c r="CO92" s="9" t="n">
        <v>0</v>
      </c>
      <c r="CP92" s="9" t="n">
        <v>0</v>
      </c>
    </row>
    <row r="93" spans="1:94" ht="15.75" customHeight="1">
      <c r="A93" s="56" t="s">
        <v>342</v>
      </c>
      <c r="B93" s="9" t="n">
        <v>0</v>
      </c>
      <c r="C93" s="9" t="s">
        <v>346</v>
      </c>
      <c r="D93" s="9" t="s">
        <v>346</v>
      </c>
      <c r="E93" s="9" t="s">
        <v>346</v>
      </c>
      <c r="F93" s="9" t="s">
        <v>346</v>
      </c>
      <c r="G93" s="9" t="s">
        <v>346</v>
      </c>
      <c r="H93" s="9" t="s">
        <v>346</v>
      </c>
      <c r="I93" s="9" t="s">
        <v>346</v>
      </c>
      <c r="J93" s="9" t="s">
        <v>346</v>
      </c>
      <c r="K93" s="9" t="s">
        <v>346</v>
      </c>
      <c r="L93" s="9" t="s">
        <v>347</v>
      </c>
      <c r="M93" s="9" t="s">
        <v>348</v>
      </c>
      <c r="N93" s="9" t="s">
        <v>349</v>
      </c>
      <c r="O93" s="9" t="s">
        <v>349</v>
      </c>
      <c r="P93" s="9" t="s">
        <v>349</v>
      </c>
      <c r="Q93" s="9" t="s">
        <v>349</v>
      </c>
      <c r="R93" s="9" t="s">
        <v>349</v>
      </c>
      <c r="S93" s="9" t="s">
        <v>349</v>
      </c>
      <c r="T93" s="9" t="s">
        <v>349</v>
      </c>
      <c r="U93" s="9" t="s">
        <v>349</v>
      </c>
      <c r="V93" s="9" t="s">
        <v>349</v>
      </c>
      <c r="W93" s="9" t="s">
        <v>349</v>
      </c>
      <c r="X93" s="9" t="s">
        <v>349</v>
      </c>
      <c r="Y93" s="9" t="s">
        <v>349</v>
      </c>
      <c r="Z93" s="9" t="s">
        <v>349</v>
      </c>
      <c r="AA93" s="9" t="s">
        <v>349</v>
      </c>
      <c r="AB93" s="9" t="s">
        <v>349</v>
      </c>
      <c r="AC93" s="9" t="s">
        <v>350</v>
      </c>
      <c r="AD93" s="9" t="s">
        <v>351</v>
      </c>
      <c r="AE93" s="9" t="s">
        <v>352</v>
      </c>
      <c r="AF93" s="9" t="s">
        <v>352</v>
      </c>
      <c r="AG93" s="9" t="s">
        <v>352</v>
      </c>
      <c r="AH93" s="9" t="s">
        <v>352</v>
      </c>
      <c r="AI93" s="9" t="s">
        <v>352</v>
      </c>
      <c r="AJ93" s="9" t="s">
        <v>352</v>
      </c>
      <c r="AK93" s="9" t="s">
        <v>352</v>
      </c>
      <c r="AL93" s="9" t="s">
        <v>352</v>
      </c>
      <c r="AM93" s="9" t="s">
        <v>352</v>
      </c>
      <c r="AN93" s="9" t="s">
        <v>352</v>
      </c>
      <c r="AO93" s="9" t="s">
        <v>353</v>
      </c>
      <c r="AP93" s="9" t="s">
        <v>354</v>
      </c>
      <c r="AQ93" s="9" t="s">
        <v>355</v>
      </c>
      <c r="AR93" s="9" t="s">
        <v>356</v>
      </c>
      <c r="AS93" s="9" t="s">
        <v>357</v>
      </c>
      <c r="AT93" s="9" t="s">
        <v>358</v>
      </c>
      <c r="AU93" s="9" t="s">
        <v>359</v>
      </c>
      <c r="AV93" s="9" t="s">
        <v>360</v>
      </c>
      <c r="AW93" s="9" t="s">
        <v>361</v>
      </c>
      <c r="AX93" s="9" t="s">
        <v>362</v>
      </c>
      <c r="AY93" s="9" t="s">
        <v>362</v>
      </c>
      <c r="AZ93" s="9" t="s">
        <v>363</v>
      </c>
      <c r="BA93" s="9" t="s">
        <v>364</v>
      </c>
      <c r="BB93" s="9" t="s">
        <v>365</v>
      </c>
      <c r="BC93" s="9" t="s">
        <v>366</v>
      </c>
      <c r="BD93" s="9" t="s">
        <v>367</v>
      </c>
      <c r="BE93" s="9" t="s">
        <v>367</v>
      </c>
      <c r="BF93" s="9" t="s">
        <v>368</v>
      </c>
      <c r="BG93" s="9" t="s">
        <v>369</v>
      </c>
      <c r="BH93" s="9" t="s">
        <v>369</v>
      </c>
      <c r="BI93" s="9" t="s">
        <v>369</v>
      </c>
      <c r="BJ93" s="9" t="s">
        <v>369</v>
      </c>
      <c r="BK93" s="9" t="s">
        <v>369</v>
      </c>
      <c r="BL93" s="9" t="s">
        <v>369</v>
      </c>
      <c r="BM93" s="9" t="s">
        <v>369</v>
      </c>
      <c r="BN93" s="9" t="s">
        <v>369</v>
      </c>
      <c r="BO93" s="9" t="s">
        <v>369</v>
      </c>
      <c r="BP93" s="9" t="s">
        <v>369</v>
      </c>
      <c r="BQ93" s="9" t="s">
        <v>370</v>
      </c>
      <c r="BR93" s="9" t="s">
        <v>371</v>
      </c>
      <c r="BS93" s="9" t="s">
        <v>372</v>
      </c>
      <c r="BT93" s="9" t="s">
        <v>373</v>
      </c>
      <c r="BU93" s="9" t="s">
        <v>374</v>
      </c>
      <c r="BV93" s="9" t="s">
        <v>375</v>
      </c>
      <c r="BW93" s="9" t="s">
        <v>376</v>
      </c>
      <c r="BX93" s="9" t="n">
        <v>0</v>
      </c>
      <c r="BY93" s="9" t="n">
        <v>0</v>
      </c>
      <c r="BZ93" s="9" t="n">
        <v>0</v>
      </c>
      <c r="CA93" s="9" t="n">
        <v>0</v>
      </c>
      <c r="CB93" s="9" t="n">
        <v>0</v>
      </c>
      <c r="CC93" s="9" t="n">
        <v>0</v>
      </c>
      <c r="CD93" s="9" t="n">
        <v>0</v>
      </c>
      <c r="CE93" s="9" t="n">
        <v>0</v>
      </c>
      <c r="CF93" s="9" t="n">
        <v>0</v>
      </c>
      <c r="CG93" s="9" t="n">
        <v>0</v>
      </c>
      <c r="CH93" s="9" t="n">
        <v>0</v>
      </c>
      <c r="CI93" s="9" t="n">
        <v>0</v>
      </c>
      <c r="CJ93" s="9" t="n">
        <v>0</v>
      </c>
      <c r="CK93" s="9" t="n">
        <v>0</v>
      </c>
      <c r="CL93" s="9" t="n">
        <v>0</v>
      </c>
      <c r="CM93" s="9" t="n">
        <v>0</v>
      </c>
      <c r="CN93" s="9" t="n">
        <v>0</v>
      </c>
      <c r="CO93" s="9" t="n">
        <v>0</v>
      </c>
      <c r="CP93" s="9" t="n">
        <v>0</v>
      </c>
    </row>
    <row r="94" spans="1:94" ht="15.75" customHeight="1">
      <c r="A94" s="56" t="s">
        <v>343</v>
      </c>
      <c r="B94" s="9" t="n">
        <v>0</v>
      </c>
      <c r="C94" s="9" t="s">
        <v>346</v>
      </c>
      <c r="D94" s="9" t="s">
        <v>346</v>
      </c>
      <c r="E94" s="9" t="s">
        <v>346</v>
      </c>
      <c r="F94" s="9" t="s">
        <v>346</v>
      </c>
      <c r="G94" s="9" t="s">
        <v>346</v>
      </c>
      <c r="H94" s="9" t="s">
        <v>346</v>
      </c>
      <c r="I94" s="9" t="s">
        <v>346</v>
      </c>
      <c r="J94" s="9" t="s">
        <v>346</v>
      </c>
      <c r="K94" s="9" t="s">
        <v>346</v>
      </c>
      <c r="L94" s="9" t="s">
        <v>347</v>
      </c>
      <c r="M94" s="9" t="s">
        <v>348</v>
      </c>
      <c r="N94" s="9" t="s">
        <v>349</v>
      </c>
      <c r="O94" s="9" t="s">
        <v>349</v>
      </c>
      <c r="P94" s="9" t="s">
        <v>349</v>
      </c>
      <c r="Q94" s="9" t="s">
        <v>349</v>
      </c>
      <c r="R94" s="9" t="s">
        <v>349</v>
      </c>
      <c r="S94" s="9" t="s">
        <v>349</v>
      </c>
      <c r="T94" s="9" t="s">
        <v>349</v>
      </c>
      <c r="U94" s="9" t="s">
        <v>349</v>
      </c>
      <c r="V94" s="9" t="s">
        <v>349</v>
      </c>
      <c r="W94" s="9" t="s">
        <v>349</v>
      </c>
      <c r="X94" s="9" t="s">
        <v>349</v>
      </c>
      <c r="Y94" s="9" t="s">
        <v>349</v>
      </c>
      <c r="Z94" s="9" t="s">
        <v>349</v>
      </c>
      <c r="AA94" s="9" t="s">
        <v>349</v>
      </c>
      <c r="AB94" s="9" t="s">
        <v>349</v>
      </c>
      <c r="AC94" s="9" t="s">
        <v>350</v>
      </c>
      <c r="AD94" s="9" t="s">
        <v>351</v>
      </c>
      <c r="AE94" s="9" t="s">
        <v>352</v>
      </c>
      <c r="AF94" s="9" t="s">
        <v>352</v>
      </c>
      <c r="AG94" s="9" t="s">
        <v>352</v>
      </c>
      <c r="AH94" s="9" t="s">
        <v>352</v>
      </c>
      <c r="AI94" s="9" t="s">
        <v>352</v>
      </c>
      <c r="AJ94" s="9" t="s">
        <v>352</v>
      </c>
      <c r="AK94" s="9" t="s">
        <v>352</v>
      </c>
      <c r="AL94" s="9" t="s">
        <v>352</v>
      </c>
      <c r="AM94" s="9" t="s">
        <v>352</v>
      </c>
      <c r="AN94" s="9" t="s">
        <v>352</v>
      </c>
      <c r="AO94" s="9" t="s">
        <v>353</v>
      </c>
      <c r="AP94" s="9" t="s">
        <v>354</v>
      </c>
      <c r="AQ94" s="9" t="s">
        <v>355</v>
      </c>
      <c r="AR94" s="9" t="s">
        <v>356</v>
      </c>
      <c r="AS94" s="9" t="s">
        <v>357</v>
      </c>
      <c r="AT94" s="9" t="s">
        <v>358</v>
      </c>
      <c r="AU94" s="9" t="s">
        <v>359</v>
      </c>
      <c r="AV94" s="9" t="s">
        <v>360</v>
      </c>
      <c r="AW94" s="9" t="s">
        <v>361</v>
      </c>
      <c r="AX94" s="9" t="s">
        <v>362</v>
      </c>
      <c r="AY94" s="9" t="s">
        <v>362</v>
      </c>
      <c r="AZ94" s="9" t="s">
        <v>363</v>
      </c>
      <c r="BA94" s="9" t="s">
        <v>364</v>
      </c>
      <c r="BB94" s="9" t="s">
        <v>365</v>
      </c>
      <c r="BC94" s="9" t="s">
        <v>366</v>
      </c>
      <c r="BD94" s="9" t="s">
        <v>367</v>
      </c>
      <c r="BE94" s="9" t="s">
        <v>367</v>
      </c>
      <c r="BF94" s="9" t="s">
        <v>368</v>
      </c>
      <c r="BG94" s="9" t="s">
        <v>369</v>
      </c>
      <c r="BH94" s="9" t="s">
        <v>369</v>
      </c>
      <c r="BI94" s="9" t="s">
        <v>369</v>
      </c>
      <c r="BJ94" s="9" t="s">
        <v>369</v>
      </c>
      <c r="BK94" s="9" t="s">
        <v>369</v>
      </c>
      <c r="BL94" s="9" t="s">
        <v>369</v>
      </c>
      <c r="BM94" s="9" t="s">
        <v>369</v>
      </c>
      <c r="BN94" s="9" t="s">
        <v>369</v>
      </c>
      <c r="BO94" s="9" t="s">
        <v>369</v>
      </c>
      <c r="BP94" s="9" t="s">
        <v>369</v>
      </c>
      <c r="BQ94" s="9" t="s">
        <v>370</v>
      </c>
      <c r="BR94" s="9" t="s">
        <v>371</v>
      </c>
      <c r="BS94" s="9" t="s">
        <v>372</v>
      </c>
      <c r="BT94" s="9" t="s">
        <v>373</v>
      </c>
      <c r="BU94" s="9" t="s">
        <v>374</v>
      </c>
      <c r="BV94" s="9" t="s">
        <v>375</v>
      </c>
      <c r="BW94" s="9" t="s">
        <v>376</v>
      </c>
      <c r="BX94" s="9" t="n">
        <v>0</v>
      </c>
      <c r="BY94" s="9" t="n">
        <v>0</v>
      </c>
      <c r="BZ94" s="9" t="n">
        <v>0</v>
      </c>
      <c r="CA94" s="9" t="n">
        <v>0</v>
      </c>
      <c r="CB94" s="9" t="n">
        <v>0</v>
      </c>
      <c r="CC94" s="9" t="n">
        <v>0</v>
      </c>
      <c r="CD94" s="9" t="n">
        <v>0</v>
      </c>
      <c r="CE94" s="9" t="n">
        <v>0</v>
      </c>
      <c r="CF94" s="9" t="n">
        <v>0</v>
      </c>
      <c r="CG94" s="9" t="n">
        <v>0</v>
      </c>
      <c r="CH94" s="9" t="n">
        <v>0</v>
      </c>
      <c r="CI94" s="9" t="n">
        <v>0</v>
      </c>
      <c r="CJ94" s="9" t="n">
        <v>0</v>
      </c>
      <c r="CK94" s="9" t="n">
        <v>0</v>
      </c>
      <c r="CL94" s="9" t="n">
        <v>0</v>
      </c>
      <c r="CM94" s="9" t="n">
        <v>0</v>
      </c>
      <c r="CN94" s="9" t="n">
        <v>0</v>
      </c>
      <c r="CO94" s="9" t="n">
        <v>0</v>
      </c>
      <c r="CP94" s="9" t="n">
        <v>0</v>
      </c>
    </row>
    <row r="95" spans="1:94" ht="15.75" customHeight="1">
      <c r="A95" s="56" t="s">
        <v>344</v>
      </c>
      <c r="B95" s="9" t="n">
        <v>0</v>
      </c>
      <c r="C95" s="9" t="s">
        <v>346</v>
      </c>
      <c r="D95" s="9" t="s">
        <v>346</v>
      </c>
      <c r="E95" s="9" t="s">
        <v>346</v>
      </c>
      <c r="F95" s="9" t="s">
        <v>346</v>
      </c>
      <c r="G95" s="9" t="s">
        <v>346</v>
      </c>
      <c r="H95" s="9" t="s">
        <v>346</v>
      </c>
      <c r="I95" s="9" t="s">
        <v>346</v>
      </c>
      <c r="J95" s="9" t="s">
        <v>346</v>
      </c>
      <c r="K95" s="9" t="s">
        <v>346</v>
      </c>
      <c r="L95" s="9" t="s">
        <v>347</v>
      </c>
      <c r="M95" s="9" t="s">
        <v>348</v>
      </c>
      <c r="N95" s="9" t="s">
        <v>349</v>
      </c>
      <c r="O95" s="9" t="s">
        <v>349</v>
      </c>
      <c r="P95" s="9" t="s">
        <v>349</v>
      </c>
      <c r="Q95" s="9" t="s">
        <v>349</v>
      </c>
      <c r="R95" s="9" t="s">
        <v>349</v>
      </c>
      <c r="S95" s="9" t="s">
        <v>349</v>
      </c>
      <c r="T95" s="9" t="s">
        <v>349</v>
      </c>
      <c r="U95" s="9" t="s">
        <v>349</v>
      </c>
      <c r="V95" s="9" t="s">
        <v>349</v>
      </c>
      <c r="W95" s="9" t="s">
        <v>349</v>
      </c>
      <c r="X95" s="9" t="s">
        <v>349</v>
      </c>
      <c r="Y95" s="9" t="s">
        <v>349</v>
      </c>
      <c r="Z95" s="9" t="s">
        <v>349</v>
      </c>
      <c r="AA95" s="9" t="s">
        <v>349</v>
      </c>
      <c r="AB95" s="9" t="s">
        <v>349</v>
      </c>
      <c r="AC95" s="9" t="s">
        <v>350</v>
      </c>
      <c r="AD95" s="9" t="s">
        <v>351</v>
      </c>
      <c r="AE95" s="9" t="s">
        <v>352</v>
      </c>
      <c r="AF95" s="9" t="s">
        <v>352</v>
      </c>
      <c r="AG95" s="9" t="s">
        <v>352</v>
      </c>
      <c r="AH95" s="9" t="s">
        <v>352</v>
      </c>
      <c r="AI95" s="9" t="s">
        <v>352</v>
      </c>
      <c r="AJ95" s="9" t="s">
        <v>352</v>
      </c>
      <c r="AK95" s="9" t="s">
        <v>352</v>
      </c>
      <c r="AL95" s="9" t="s">
        <v>352</v>
      </c>
      <c r="AM95" s="9" t="s">
        <v>352</v>
      </c>
      <c r="AN95" s="9" t="s">
        <v>352</v>
      </c>
      <c r="AO95" s="9" t="s">
        <v>353</v>
      </c>
      <c r="AP95" s="9" t="s">
        <v>354</v>
      </c>
      <c r="AQ95" s="9" t="s">
        <v>355</v>
      </c>
      <c r="AR95" s="9" t="s">
        <v>356</v>
      </c>
      <c r="AS95" s="9" t="s">
        <v>357</v>
      </c>
      <c r="AT95" s="9" t="s">
        <v>358</v>
      </c>
      <c r="AU95" s="9" t="s">
        <v>359</v>
      </c>
      <c r="AV95" s="9" t="s">
        <v>360</v>
      </c>
      <c r="AW95" s="9" t="s">
        <v>361</v>
      </c>
      <c r="AX95" s="9" t="s">
        <v>362</v>
      </c>
      <c r="AY95" s="9" t="s">
        <v>362</v>
      </c>
      <c r="AZ95" s="9" t="s">
        <v>363</v>
      </c>
      <c r="BA95" s="9" t="s">
        <v>364</v>
      </c>
      <c r="BB95" s="9" t="s">
        <v>365</v>
      </c>
      <c r="BC95" s="9" t="s">
        <v>366</v>
      </c>
      <c r="BD95" s="9" t="s">
        <v>367</v>
      </c>
      <c r="BE95" s="9" t="s">
        <v>367</v>
      </c>
      <c r="BF95" s="9" t="s">
        <v>368</v>
      </c>
      <c r="BG95" s="9" t="s">
        <v>369</v>
      </c>
      <c r="BH95" s="9" t="s">
        <v>369</v>
      </c>
      <c r="BI95" s="9" t="s">
        <v>369</v>
      </c>
      <c r="BJ95" s="9" t="s">
        <v>369</v>
      </c>
      <c r="BK95" s="9" t="s">
        <v>369</v>
      </c>
      <c r="BL95" s="9" t="s">
        <v>369</v>
      </c>
      <c r="BM95" s="9" t="s">
        <v>369</v>
      </c>
      <c r="BN95" s="9" t="s">
        <v>369</v>
      </c>
      <c r="BO95" s="9" t="s">
        <v>369</v>
      </c>
      <c r="BP95" s="9" t="s">
        <v>369</v>
      </c>
      <c r="BQ95" s="9" t="s">
        <v>370</v>
      </c>
      <c r="BR95" s="9" t="s">
        <v>371</v>
      </c>
      <c r="BS95" s="9" t="s">
        <v>372</v>
      </c>
      <c r="BT95" s="9" t="s">
        <v>373</v>
      </c>
      <c r="BU95" s="9" t="s">
        <v>374</v>
      </c>
      <c r="BV95" s="9" t="s">
        <v>375</v>
      </c>
      <c r="BW95" s="9" t="s">
        <v>376</v>
      </c>
      <c r="BX95" s="9" t="n">
        <v>0</v>
      </c>
      <c r="BY95" s="9" t="n">
        <v>0</v>
      </c>
      <c r="BZ95" s="9" t="n">
        <v>0</v>
      </c>
      <c r="CA95" s="9" t="n">
        <v>0</v>
      </c>
      <c r="CB95" s="9" t="n">
        <v>0</v>
      </c>
      <c r="CC95" s="9" t="n">
        <v>0</v>
      </c>
      <c r="CD95" s="9" t="n">
        <v>0</v>
      </c>
      <c r="CE95" s="9" t="n">
        <v>0</v>
      </c>
      <c r="CF95" s="9" t="n">
        <v>0</v>
      </c>
      <c r="CG95" s="9" t="n">
        <v>0</v>
      </c>
      <c r="CH95" s="9" t="n">
        <v>0</v>
      </c>
      <c r="CI95" s="9" t="n">
        <v>0</v>
      </c>
      <c r="CJ95" s="9" t="n">
        <v>0</v>
      </c>
      <c r="CK95" s="9" t="n">
        <v>0</v>
      </c>
      <c r="CL95" s="9" t="n">
        <v>0</v>
      </c>
      <c r="CM95" s="9" t="n">
        <v>0</v>
      </c>
      <c r="CN95" s="9" t="n">
        <v>0</v>
      </c>
      <c r="CO95" s="9" t="n">
        <v>0</v>
      </c>
      <c r="CP95" s="9" t="n">
        <v>0</v>
      </c>
    </row>
    <row r="96" spans="1:94" ht="15.75" customHeight="1">
      <c r="A96" s="56" t="s">
        <v>345</v>
      </c>
      <c r="B96" s="9" t="n">
        <v>0</v>
      </c>
      <c r="C96" s="9" t="s">
        <v>346</v>
      </c>
      <c r="D96" s="9" t="s">
        <v>346</v>
      </c>
      <c r="E96" s="9" t="s">
        <v>346</v>
      </c>
      <c r="F96" s="9" t="s">
        <v>346</v>
      </c>
      <c r="G96" s="9" t="s">
        <v>346</v>
      </c>
      <c r="H96" s="9" t="s">
        <v>346</v>
      </c>
      <c r="I96" s="9" t="s">
        <v>346</v>
      </c>
      <c r="J96" s="9" t="s">
        <v>346</v>
      </c>
      <c r="K96" s="9" t="s">
        <v>346</v>
      </c>
      <c r="L96" s="9" t="s">
        <v>347</v>
      </c>
      <c r="M96" s="9" t="s">
        <v>348</v>
      </c>
      <c r="N96" s="9" t="s">
        <v>349</v>
      </c>
      <c r="O96" s="9" t="s">
        <v>349</v>
      </c>
      <c r="P96" s="9" t="s">
        <v>349</v>
      </c>
      <c r="Q96" s="9" t="s">
        <v>349</v>
      </c>
      <c r="R96" s="9" t="s">
        <v>349</v>
      </c>
      <c r="S96" s="9" t="s">
        <v>349</v>
      </c>
      <c r="T96" s="9" t="s">
        <v>349</v>
      </c>
      <c r="U96" s="9" t="s">
        <v>349</v>
      </c>
      <c r="V96" s="9" t="s">
        <v>349</v>
      </c>
      <c r="W96" s="9" t="s">
        <v>349</v>
      </c>
      <c r="X96" s="9" t="s">
        <v>349</v>
      </c>
      <c r="Y96" s="9" t="s">
        <v>349</v>
      </c>
      <c r="Z96" s="9" t="s">
        <v>349</v>
      </c>
      <c r="AA96" s="9" t="s">
        <v>349</v>
      </c>
      <c r="AB96" s="9" t="s">
        <v>349</v>
      </c>
      <c r="AC96" s="9" t="s">
        <v>350</v>
      </c>
      <c r="AD96" s="9" t="s">
        <v>351</v>
      </c>
      <c r="AE96" s="9" t="s">
        <v>352</v>
      </c>
      <c r="AF96" s="9" t="s">
        <v>352</v>
      </c>
      <c r="AG96" s="9" t="s">
        <v>352</v>
      </c>
      <c r="AH96" s="9" t="s">
        <v>352</v>
      </c>
      <c r="AI96" s="9" t="s">
        <v>352</v>
      </c>
      <c r="AJ96" s="9" t="s">
        <v>352</v>
      </c>
      <c r="AK96" s="9" t="s">
        <v>352</v>
      </c>
      <c r="AL96" s="9" t="s">
        <v>352</v>
      </c>
      <c r="AM96" s="9" t="s">
        <v>352</v>
      </c>
      <c r="AN96" s="9" t="s">
        <v>352</v>
      </c>
      <c r="AO96" s="9" t="s">
        <v>353</v>
      </c>
      <c r="AP96" s="9" t="s">
        <v>354</v>
      </c>
      <c r="AQ96" s="9" t="s">
        <v>355</v>
      </c>
      <c r="AR96" s="9" t="s">
        <v>356</v>
      </c>
      <c r="AS96" s="9" t="s">
        <v>357</v>
      </c>
      <c r="AT96" s="9" t="s">
        <v>358</v>
      </c>
      <c r="AU96" s="9" t="s">
        <v>359</v>
      </c>
      <c r="AV96" s="9" t="s">
        <v>360</v>
      </c>
      <c r="AW96" s="9" t="s">
        <v>361</v>
      </c>
      <c r="AX96" s="9" t="s">
        <v>362</v>
      </c>
      <c r="AY96" s="9" t="s">
        <v>362</v>
      </c>
      <c r="AZ96" s="9" t="s">
        <v>363</v>
      </c>
      <c r="BA96" s="9" t="s">
        <v>364</v>
      </c>
      <c r="BB96" s="9" t="s">
        <v>365</v>
      </c>
      <c r="BC96" s="9" t="s">
        <v>366</v>
      </c>
      <c r="BD96" s="9" t="s">
        <v>367</v>
      </c>
      <c r="BE96" s="9" t="s">
        <v>367</v>
      </c>
      <c r="BF96" s="9" t="s">
        <v>368</v>
      </c>
      <c r="BG96" s="9" t="s">
        <v>369</v>
      </c>
      <c r="BH96" s="9" t="s">
        <v>369</v>
      </c>
      <c r="BI96" s="9" t="s">
        <v>369</v>
      </c>
      <c r="BJ96" s="9" t="s">
        <v>369</v>
      </c>
      <c r="BK96" s="9" t="s">
        <v>369</v>
      </c>
      <c r="BL96" s="9" t="s">
        <v>369</v>
      </c>
      <c r="BM96" s="9" t="s">
        <v>369</v>
      </c>
      <c r="BN96" s="9" t="s">
        <v>369</v>
      </c>
      <c r="BO96" s="9" t="s">
        <v>369</v>
      </c>
      <c r="BP96" s="9" t="s">
        <v>369</v>
      </c>
      <c r="BQ96" s="9" t="s">
        <v>370</v>
      </c>
      <c r="BR96" s="9" t="s">
        <v>371</v>
      </c>
      <c r="BS96" s="9" t="s">
        <v>372</v>
      </c>
      <c r="BT96" s="9" t="s">
        <v>373</v>
      </c>
      <c r="BU96" s="9" t="s">
        <v>374</v>
      </c>
      <c r="BV96" s="9" t="s">
        <v>375</v>
      </c>
      <c r="BW96" s="9" t="s">
        <v>376</v>
      </c>
      <c r="BX96" s="9" t="n">
        <v>0</v>
      </c>
      <c r="BY96" s="9" t="n">
        <v>0</v>
      </c>
      <c r="BZ96" s="9" t="n">
        <v>0</v>
      </c>
      <c r="CA96" s="9" t="n">
        <v>0</v>
      </c>
      <c r="CB96" s="9" t="n">
        <v>0</v>
      </c>
      <c r="CC96" s="9" t="n">
        <v>0</v>
      </c>
      <c r="CD96" s="9" t="n">
        <v>0</v>
      </c>
      <c r="CE96" s="9" t="n">
        <v>0</v>
      </c>
      <c r="CF96" s="9" t="n">
        <v>0</v>
      </c>
      <c r="CG96" s="9" t="n">
        <v>0</v>
      </c>
      <c r="CH96" s="9" t="n">
        <v>0</v>
      </c>
      <c r="CI96" s="9" t="n">
        <v>0</v>
      </c>
      <c r="CJ96" s="9" t="n">
        <v>0</v>
      </c>
      <c r="CK96" s="9" t="n">
        <v>0</v>
      </c>
      <c r="CL96" s="9" t="n">
        <v>0</v>
      </c>
      <c r="CM96" s="9" t="n">
        <v>0</v>
      </c>
      <c r="CN96" s="9" t="n">
        <v>0</v>
      </c>
      <c r="CO96" s="9" t="n">
        <v>0</v>
      </c>
      <c r="CP96" s="9" t="n">
        <v>0</v>
      </c>
    </row>
  </sheetData>
  <mergeCells count="1">
    <mergeCell ref="A1:P1"/>
  </mergeCells>
  <printOptions>
    <extLst>
      <ext uri="smNativeData">
        <pm:pageFlags xmlns:pm="smNativeData" id="1789706791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89706791" l="56" r="56" t="56" b="56" borderId="0" fillId="0" vertical="0"/>
        <pm:footer xmlns:pm="smNativeData" id="1789706791" l="56" r="56" t="56" b="56" borderId="0" fillId="0" vertical="2"/>
      </ext>
    </extLst>
  </headerFooter>
  <extLst>
    <ext uri="smNativeData">
      <pm:sheetPrefs xmlns:pm="smNativeData" day="178970679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drozdovapb</cp:lastModifiedBy>
  <cp:revision>0</cp:revision>
  <dcterms:created xsi:type="dcterms:W3CDTF">2026-09-10T18:10:41Z</dcterms:created>
  <dcterms:modified xsi:type="dcterms:W3CDTF">2026-09-18T04:46:31Z</dcterms:modified>
</cp:coreProperties>
</file>